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mbelz\Desktop\telefoninterviews\"/>
    </mc:Choice>
  </mc:AlternateContent>
  <bookViews>
    <workbookView xWindow="-120" yWindow="-120" windowWidth="28920" windowHeight="12576" firstSheet="10" activeTab="12"/>
  </bookViews>
  <sheets>
    <sheet name="Home" sheetId="155" r:id="rId1"/>
    <sheet name="ReadMe" sheetId="106" r:id="rId2"/>
    <sheet name="Content" sheetId="244" r:id="rId3"/>
    <sheet name="Change Log" sheetId="104" r:id="rId4"/>
    <sheet name="Schemas" sheetId="234" r:id="rId5"/>
    <sheet name="E1.Test" sheetId="641" r:id="rId6"/>
    <sheet name="T1.Test" sheetId="644" r:id="rId7"/>
    <sheet name="T2.Test" sheetId="645" r:id="rId8"/>
    <sheet name="sec.BotCodeKeyword" sheetId="642" r:id="rId9"/>
    <sheet name="sec.BotCodeKeywordCounter" sheetId="643" r:id="rId10"/>
    <sheet name="LOG.Component" sheetId="445" r:id="rId11"/>
    <sheet name="LOG.Error" sheetId="449" r:id="rId12"/>
    <sheet name="LOG.Execution" sheetId="433" r:id="rId13"/>
    <sheet name="LOG.ExportFile" sheetId="453" r:id="rId14"/>
    <sheet name="LOG.ImportFile" sheetId="451" r:id="rId15"/>
    <sheet name="LOG.Trace" sheetId="448" r:id="rId16"/>
    <sheet name="CONFIG.CheckConstraint" sheetId="601" r:id="rId17"/>
    <sheet name="CONFIG.Configuration" sheetId="602" r:id="rId18"/>
    <sheet name="CONFIG.DBVersion" sheetId="482" r:id="rId19"/>
    <sheet name="CONFIG.TableMetadata" sheetId="603" r:id="rId20"/>
    <sheet name="LOG._Template" sheetId="607" r:id="rId21"/>
  </sheets>
  <functionGroups builtInGroupCount="18"/>
  <definedNames>
    <definedName name="_xlnm._FilterDatabase" localSheetId="3" hidden="1">'Change Log'!$A$5:$E$10</definedName>
    <definedName name="_xlnm._FilterDatabase" localSheetId="2" hidden="1">Content!$A$6:$C$6</definedName>
    <definedName name="ColumnHeader" localSheetId="16">'CONFIG.CheckConstraint'!$A$8:$T$9</definedName>
    <definedName name="ColumnHeader" localSheetId="17">'CONFIG.Configuration'!$A$8:$T$9</definedName>
    <definedName name="ColumnHeader" localSheetId="18">'CONFIG.DBVersion'!$A$8:$T$9</definedName>
    <definedName name="ColumnHeader" localSheetId="19">'CONFIG.TableMetadata'!$A$8:$T$9</definedName>
    <definedName name="ColumnHeader" localSheetId="5">'E1.Test'!$A$8:$T$9</definedName>
    <definedName name="ColumnHeader" localSheetId="20">LOG._Template!$A$8:$T$9</definedName>
    <definedName name="ColumnHeader" localSheetId="10">LOG.Component!$A$8:$T$9</definedName>
    <definedName name="ColumnHeader" localSheetId="11">LOG.Error!$A$8:$T$9</definedName>
    <definedName name="ColumnHeader" localSheetId="12">LOG.Execution!$A$8:$T$9</definedName>
    <definedName name="ColumnHeader" localSheetId="13">LOG.ExportFile!$A$8:$T$9</definedName>
    <definedName name="ColumnHeader" localSheetId="14">LOG.ImportFile!$A$8:$T$9</definedName>
    <definedName name="ColumnHeader" localSheetId="15">LOG.Trace!$A$8:$T$9</definedName>
    <definedName name="ColumnHeader" localSheetId="8">sec.BotCodeKeyword!$A$8:$T$9</definedName>
    <definedName name="ColumnHeader" localSheetId="9">sec.BotCodeKeywordCounter!$A$8:$T$9</definedName>
    <definedName name="ColumnHeader" localSheetId="6">'T1.Test'!$A$8:$T$9</definedName>
    <definedName name="ColumnHeader" localSheetId="7">'T2.Test'!$A$8:$T$9</definedName>
    <definedName name="HomeDatabaseDate">Home!$B$4</definedName>
    <definedName name="HomeDatabaseDescription">Home!$B$6</definedName>
    <definedName name="HomeDatabaseName">Home!$B$5</definedName>
    <definedName name="HomeDatabaseVersion">Home!$B$7</definedName>
    <definedName name="HomeDate">Home!$B$4</definedName>
    <definedName name="RowHeader" localSheetId="16">'CONFIG.CheckConstraint'!$A$1:$A$6</definedName>
    <definedName name="RowHeader" localSheetId="17">'CONFIG.Configuration'!$A$1:$A$6</definedName>
    <definedName name="RowHeader" localSheetId="18">'CONFIG.DBVersion'!$A$1:$A$6</definedName>
    <definedName name="RowHeader" localSheetId="19">'CONFIG.TableMetadata'!$A$1:$A$6</definedName>
    <definedName name="RowHeader" localSheetId="5">'E1.Test'!$A$1:$A$6</definedName>
    <definedName name="RowHeader" localSheetId="20">LOG._Template!$A$1:$A$6</definedName>
    <definedName name="RowHeader" localSheetId="10">LOG.Component!$A$1:$A$6</definedName>
    <definedName name="RowHeader" localSheetId="11">LOG.Error!$A$1:$A$6</definedName>
    <definedName name="RowHeader" localSheetId="12">LOG.Execution!$A$1:$A$6</definedName>
    <definedName name="RowHeader" localSheetId="13">LOG.ExportFile!$A$1:$A$6</definedName>
    <definedName name="RowHeader" localSheetId="14">LOG.ImportFile!$A$1:$A$6</definedName>
    <definedName name="RowHeader" localSheetId="15">LOG.Trace!$A$1:$A$6</definedName>
    <definedName name="RowHeader" localSheetId="8">sec.BotCodeKeyword!$A$1:$A$6</definedName>
    <definedName name="RowHeader" localSheetId="9">sec.BotCodeKeywordCounter!$A$1:$A$6</definedName>
    <definedName name="RowHeader" localSheetId="6">'T1.Test'!$A$1:$A$6</definedName>
    <definedName name="RowHeader" localSheetId="7">'T2.Test'!$A$1:$A$6</definedName>
    <definedName name="Schemas">Schemas!$A$10:$B$39</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0" i="244" l="1"/>
  <c r="A20" i="244"/>
  <c r="B19" i="244"/>
  <c r="A19" i="244"/>
  <c r="B18" i="244"/>
  <c r="A18" i="244"/>
  <c r="B17" i="244"/>
  <c r="A17" i="244"/>
  <c r="B16" i="244"/>
  <c r="A16" i="244"/>
  <c r="B15" i="244"/>
  <c r="A15" i="244"/>
  <c r="B14" i="244"/>
  <c r="A14" i="244"/>
  <c r="B13" i="244"/>
  <c r="A13" i="244"/>
  <c r="B12" i="244"/>
  <c r="A12" i="244"/>
  <c r="B11" i="244"/>
  <c r="A11" i="244"/>
  <c r="B10" i="244"/>
  <c r="A10" i="244"/>
  <c r="B9" i="244"/>
  <c r="A9" i="244"/>
  <c r="B8" i="244"/>
  <c r="A8" i="244"/>
  <c r="B7" i="244"/>
  <c r="A7" i="244"/>
  <c r="C7" i="155" l="1"/>
  <c r="C5" i="155"/>
  <c r="C4" i="155"/>
  <c r="C6" i="155"/>
</calcChain>
</file>

<file path=xl/sharedStrings.xml><?xml version="1.0" encoding="utf-8"?>
<sst xmlns="http://schemas.openxmlformats.org/spreadsheetml/2006/main" count="2369" uniqueCount="524">
  <si>
    <t>Initial version</t>
  </si>
  <si>
    <t>Person</t>
  </si>
  <si>
    <t>Date</t>
  </si>
  <si>
    <t>Table Name</t>
  </si>
  <si>
    <t>Column Name</t>
  </si>
  <si>
    <t>N</t>
  </si>
  <si>
    <t>Size</t>
  </si>
  <si>
    <t>Description</t>
  </si>
  <si>
    <t>Target</t>
  </si>
  <si>
    <t>Source</t>
  </si>
  <si>
    <t>Example Values</t>
  </si>
  <si>
    <t>Datatype</t>
  </si>
  <si>
    <t>Precision</t>
  </si>
  <si>
    <t>Comments</t>
  </si>
  <si>
    <t>FK To</t>
  </si>
  <si>
    <t>Default Value</t>
  </si>
  <si>
    <t>Source Datatype</t>
  </si>
  <si>
    <t>Database:</t>
  </si>
  <si>
    <t>Date:</t>
  </si>
  <si>
    <t>Version:</t>
  </si>
  <si>
    <t>Y</t>
  </si>
  <si>
    <t>Source System</t>
  </si>
  <si>
    <t>Source Schema</t>
  </si>
  <si>
    <t>Source Table</t>
  </si>
  <si>
    <t>Source Field Name</t>
  </si>
  <si>
    <t>Change #</t>
  </si>
  <si>
    <t>Display Name</t>
  </si>
  <si>
    <t>Description:</t>
  </si>
  <si>
    <t>Database Schema</t>
  </si>
  <si>
    <t>Table Description</t>
  </si>
  <si>
    <t>Version #</t>
  </si>
  <si>
    <t>Comment</t>
  </si>
  <si>
    <t>Number</t>
  </si>
  <si>
    <t>0.1</t>
  </si>
  <si>
    <t>Schemas</t>
  </si>
  <si>
    <t>Schema Name</t>
  </si>
  <si>
    <t>Logging Layer</t>
  </si>
  <si>
    <t>Schema</t>
  </si>
  <si>
    <t>Derived</t>
  </si>
  <si>
    <t>nvarchar</t>
  </si>
  <si>
    <t>max</t>
  </si>
  <si>
    <t>PK, ID</t>
  </si>
  <si>
    <t>datetime</t>
  </si>
  <si>
    <t>Marcus Belz</t>
  </si>
  <si>
    <t>Table contains logging information for each execution of the process</t>
  </si>
  <si>
    <t>Execution</t>
  </si>
  <si>
    <t>ID</t>
  </si>
  <si>
    <t>Process</t>
  </si>
  <si>
    <t>Start</t>
  </si>
  <si>
    <t>End</t>
  </si>
  <si>
    <t>User</t>
  </si>
  <si>
    <t>Machine</t>
  </si>
  <si>
    <t>Instance</t>
  </si>
  <si>
    <t>VersionBuild</t>
  </si>
  <si>
    <t>State</t>
  </si>
  <si>
    <t>Success</t>
  </si>
  <si>
    <t>CreatedOn</t>
  </si>
  <si>
    <t>CreatedBy</t>
  </si>
  <si>
    <t>ModifiedOn</t>
  </si>
  <si>
    <t>ModifiedBy</t>
  </si>
  <si>
    <t>int</t>
  </si>
  <si>
    <t>bit</t>
  </si>
  <si>
    <t>getutcdate()</t>
  </si>
  <si>
    <t>suser_sname()</t>
  </si>
  <si>
    <t>Component</t>
  </si>
  <si>
    <t>Entity</t>
  </si>
  <si>
    <t>Step</t>
  </si>
  <si>
    <t>FK</t>
  </si>
  <si>
    <t>Trace</t>
  </si>
  <si>
    <t>Table contains logging information for each defined trace in the ETL package</t>
  </si>
  <si>
    <t>Task</t>
  </si>
  <si>
    <t>Error</t>
  </si>
  <si>
    <t>ErrorType</t>
  </si>
  <si>
    <t>TaskName</t>
  </si>
  <si>
    <t>SchemaName</t>
  </si>
  <si>
    <t>TableName</t>
  </si>
  <si>
    <t>ID1Value</t>
  </si>
  <si>
    <t>ID1ColumnName</t>
  </si>
  <si>
    <t>ID2Value</t>
  </si>
  <si>
    <t>ID2ColumnName</t>
  </si>
  <si>
    <t>ID3Value</t>
  </si>
  <si>
    <t>ID3ColumnName</t>
  </si>
  <si>
    <t>ErrorValue</t>
  </si>
  <si>
    <t>ErrorColumnName</t>
  </si>
  <si>
    <t>FileName</t>
  </si>
  <si>
    <t>Line</t>
  </si>
  <si>
    <t>char</t>
  </si>
  <si>
    <t>PK</t>
  </si>
  <si>
    <t>FileName_Source</t>
  </si>
  <si>
    <t>FileName_Working</t>
  </si>
  <si>
    <t>FileName_Archive</t>
  </si>
  <si>
    <t>Created</t>
  </si>
  <si>
    <t>FileSize</t>
  </si>
  <si>
    <t>ImportDate</t>
  </si>
  <si>
    <t>ImportFile</t>
  </si>
  <si>
    <t>ExportFile</t>
  </si>
  <si>
    <t>Table contains information about the files exported.</t>
  </si>
  <si>
    <t>FileName_Export</t>
  </si>
  <si>
    <t>Exported_Rows</t>
  </si>
  <si>
    <t>Error_Rows</t>
  </si>
  <si>
    <t>ExportDate</t>
  </si>
  <si>
    <t>nvarchar(50)</t>
  </si>
  <si>
    <t>Technical Primary Key</t>
  </si>
  <si>
    <t>bigint</t>
  </si>
  <si>
    <t>Hash Value for Primary Key Fields</t>
  </si>
  <si>
    <t>Hash Value for Attribute Fields</t>
  </si>
  <si>
    <t>binary</t>
  </si>
  <si>
    <t>DBVersion</t>
  </si>
  <si>
    <t>Database Version</t>
  </si>
  <si>
    <t>ReleaseVersion</t>
  </si>
  <si>
    <t>InternalVersion</t>
  </si>
  <si>
    <t>Country</t>
  </si>
  <si>
    <t>E1</t>
  </si>
  <si>
    <t>en-EN</t>
  </si>
  <si>
    <t>DC\User1</t>
  </si>
  <si>
    <t>DC\User2</t>
  </si>
  <si>
    <t>EMEA\TechUser1</t>
  </si>
  <si>
    <t>Country.csv</t>
  </si>
  <si>
    <t>Created By</t>
  </si>
  <si>
    <t>User who inserted the row</t>
  </si>
  <si>
    <t>When was the row inserted?</t>
  </si>
  <si>
    <t>2019-01-01 15:40:51</t>
  </si>
  <si>
    <t>2019-01-02 15:40:51</t>
  </si>
  <si>
    <t>2019-01-03 01:02:03</t>
  </si>
  <si>
    <t>yyyy-MM-dd hh:mm.ss</t>
  </si>
  <si>
    <t>SysSource</t>
  </si>
  <si>
    <t>Source Flag</t>
  </si>
  <si>
    <t>Source flag indicates the source in the source system.</t>
  </si>
  <si>
    <t>File Name of the file that contains the row.</t>
  </si>
  <si>
    <t>datetime2</t>
  </si>
  <si>
    <t>T1</t>
  </si>
  <si>
    <t>T2</t>
  </si>
  <si>
    <t>LanguageCode</t>
  </si>
  <si>
    <t>LanguageName</t>
  </si>
  <si>
    <t>LanguageDefaultCode</t>
  </si>
  <si>
    <t>Language Code</t>
  </si>
  <si>
    <t>Language Name</t>
  </si>
  <si>
    <t>Language Default Code</t>
  </si>
  <si>
    <t>English</t>
  </si>
  <si>
    <t>en-US</t>
  </si>
  <si>
    <t>LNG</t>
  </si>
  <si>
    <t>Language</t>
  </si>
  <si>
    <t>LOG</t>
  </si>
  <si>
    <t>Created On</t>
  </si>
  <si>
    <t>Modified On</t>
  </si>
  <si>
    <t>Modifed By</t>
  </si>
  <si>
    <t>CONFIG</t>
  </si>
  <si>
    <t>Configuration Layer</t>
  </si>
  <si>
    <t>Transformation Layer 1</t>
  </si>
  <si>
    <t>Transformation Layer 2</t>
  </si>
  <si>
    <t>Data Extraction Layer</t>
  </si>
  <si>
    <t>1.0.0.0</t>
  </si>
  <si>
    <t>Identifier</t>
  </si>
  <si>
    <t>Date and tim when the job was either successfully finished or terminated with an error.</t>
  </si>
  <si>
    <t>The user for the exution of the job.</t>
  </si>
  <si>
    <t>Server name</t>
  </si>
  <si>
    <t>SSIS Instance</t>
  </si>
  <si>
    <t>project@MSBISS</t>
  </si>
  <si>
    <t>03.01.2019  13:18:33</t>
  </si>
  <si>
    <t>2019-01-03 13:18:33.177</t>
  </si>
  <si>
    <t>03.01.2019  17:00:11</t>
  </si>
  <si>
    <t>ServerName</t>
  </si>
  <si>
    <t>GUID</t>
  </si>
  <si>
    <t>1 -or- 0</t>
  </si>
  <si>
    <t>processing -or- warning -or- success -or- error</t>
  </si>
  <si>
    <t>Date of creation of the log entry</t>
  </si>
  <si>
    <t>The user that has created the row.</t>
  </si>
  <si>
    <t>The user that has last modified the row.</t>
  </si>
  <si>
    <t>This column will be populated by a trigger.</t>
  </si>
  <si>
    <t>ExecutionID</t>
  </si>
  <si>
    <t>ComponentID</t>
  </si>
  <si>
    <t>Indicates, whether the task was successful</t>
  </si>
  <si>
    <t>State of the task execution</t>
  </si>
  <si>
    <t>State of the component execution (Stored Procedure or SSIS Package)</t>
  </si>
  <si>
    <t>Indicates, whether the execution was successful</t>
  </si>
  <si>
    <t>Indicates the artifact, that has written this log entry.</t>
  </si>
  <si>
    <t>T-SQL -or- SSIS</t>
  </si>
  <si>
    <t>Foreign key to the table Execution.</t>
  </si>
  <si>
    <t>Foreign key to the table Component.</t>
  </si>
  <si>
    <t>Date of creation of the log entry.</t>
  </si>
  <si>
    <t>Indicates, whether the job execution was successful.</t>
  </si>
  <si>
    <t>State of the job execution.</t>
  </si>
  <si>
    <t>SSIS Version Build number of the initial SSIS Package.</t>
  </si>
  <si>
    <t>Name of a SQL Agent Job.</t>
  </si>
  <si>
    <t>Date and tim when the job was started.</t>
  </si>
  <si>
    <t>Name of the component, that has written this log entry.</t>
  </si>
  <si>
    <t>T-SQL Procedure -or- SSIS-Package</t>
  </si>
  <si>
    <t>Overall entity, the component is dealing with.</t>
  </si>
  <si>
    <t>Overall description of what the component is doing.</t>
  </si>
  <si>
    <t>General description</t>
  </si>
  <si>
    <t>Inserting Data</t>
  </si>
  <si>
    <t>Action</t>
  </si>
  <si>
    <t>AffectedRows</t>
  </si>
  <si>
    <t>Table contains logging information for a single action in the ETL package.</t>
  </si>
  <si>
    <t>Calculate Something</t>
  </si>
  <si>
    <t>Short Identifier for a specific action.</t>
  </si>
  <si>
    <t>Insert -or- Update -or- Delete -or- Copy -or- …</t>
  </si>
  <si>
    <t>Number of affected rows/files/…</t>
  </si>
  <si>
    <t>TraceID</t>
  </si>
  <si>
    <t>Foreign key to the table Trace.</t>
  </si>
  <si>
    <t>Indicates the severity of the error entry.</t>
  </si>
  <si>
    <t>E -or- W -or- I</t>
  </si>
  <si>
    <t>E=Error
W=Warning
I=Information</t>
  </si>
  <si>
    <t>Describes the underlying action of the trace entry.</t>
  </si>
  <si>
    <t>Name of the SSIS Task if available.</t>
  </si>
  <si>
    <t>Identifies the schema of the table that contains an erroneous row.</t>
  </si>
  <si>
    <t>Identifies the table that contains an erroneous row.</t>
  </si>
  <si>
    <t>Identifies the Primary Key value.</t>
  </si>
  <si>
    <t>Identifies the column name of the Primary Key column.</t>
  </si>
  <si>
    <t>Identifies the second Primary Key value if available.</t>
  </si>
  <si>
    <t>Identifies the second column name of the Primary Key column if available.</t>
  </si>
  <si>
    <t>Identifies the third Primary Key value if available.</t>
  </si>
  <si>
    <t>Identifies the third column name of the Primary Key column if available.</t>
  </si>
  <si>
    <t>Identifies the erroneous value.</t>
  </si>
  <si>
    <t>Identifies the column name that holds the erroneous value.</t>
  </si>
  <si>
    <t>Optional</t>
  </si>
  <si>
    <t>Filename, if the error is related to a file.</t>
  </si>
  <si>
    <t>Description of the error.</t>
  </si>
  <si>
    <t>T-SQL ERROR: Line Number</t>
  </si>
  <si>
    <t>T-SQL ERROR: Error Number</t>
  </si>
  <si>
    <t>T-SQL ERROR: Error State</t>
  </si>
  <si>
    <t>Internal version of the release.</t>
  </si>
  <si>
    <t>Version of the Release.</t>
  </si>
  <si>
    <t>The internal version may apply - for example - to a version number of meta data.</t>
  </si>
  <si>
    <t>L1</t>
  </si>
  <si>
    <t>LOG.Execution.ID</t>
  </si>
  <si>
    <t>LOG.Component.ID</t>
  </si>
  <si>
    <t>DB</t>
  </si>
  <si>
    <t>nvarchar(256)</t>
  </si>
  <si>
    <t>datetime2(7)</t>
  </si>
  <si>
    <t>nvarchar(5)</t>
  </si>
  <si>
    <t>nvarchar(3)</t>
  </si>
  <si>
    <t>nvarchar(128)</t>
  </si>
  <si>
    <t>y</t>
  </si>
  <si>
    <t>CheckConstraint</t>
  </si>
  <si>
    <t>Configuration</t>
  </si>
  <si>
    <t>TableMetadata</t>
  </si>
  <si>
    <t>ProcedureName</t>
  </si>
  <si>
    <t>Id1_FieldName</t>
  </si>
  <si>
    <t>Id2_FieldName</t>
  </si>
  <si>
    <t>Id3_FieldName</t>
  </si>
  <si>
    <t>Check_FieldName</t>
  </si>
  <si>
    <t>MaxOccurance</t>
  </si>
  <si>
    <t>Message</t>
  </si>
  <si>
    <t>ActiveFlag</t>
  </si>
  <si>
    <t>ManualFlag</t>
  </si>
  <si>
    <t>Constraint</t>
  </si>
  <si>
    <t>nchar</t>
  </si>
  <si>
    <t>Group</t>
  </si>
  <si>
    <t>Code</t>
  </si>
  <si>
    <t>Value</t>
  </si>
  <si>
    <t>ColumnName</t>
  </si>
  <si>
    <t>MaxLength</t>
  </si>
  <si>
    <t>Scale</t>
  </si>
  <si>
    <t>IsNullable</t>
  </si>
  <si>
    <t>Collation</t>
  </si>
  <si>
    <t>Configuration Values</t>
  </si>
  <si>
    <t>This column can be used to group logically similar configuration settings. All logicallly similar settings will get the same group name.</t>
  </si>
  <si>
    <t>Name of a configuration settting. The name must be unique within a group name.</t>
  </si>
  <si>
    <t>Configured Value</t>
  </si>
  <si>
    <t>Description related to the configuration setting.</t>
  </si>
  <si>
    <t>Name of the procedrue to be executed in order to check this constraint.</t>
  </si>
  <si>
    <t>Table contains check constraint to be checked while loading data.</t>
  </si>
  <si>
    <t>Severity of the error.</t>
  </si>
  <si>
    <t>All rows that match the WHERE clause will be logged with the specified severity. Possible values:
I = Information
W = Warning
E = Error</t>
  </si>
  <si>
    <t>I -or- W -or- E</t>
  </si>
  <si>
    <t>Task Name</t>
  </si>
  <si>
    <t>SSIS specific</t>
  </si>
  <si>
    <t>Name of the table that is involved in this check.</t>
  </si>
  <si>
    <t>Describe the step, that invokes this check.</t>
  </si>
  <si>
    <t>Specifies the schema name of the table that contains the error.</t>
  </si>
  <si>
    <t>Specifies the table name of the table that contains the error.</t>
  </si>
  <si>
    <t>Primary key 1 field name of the record the error is related to.</t>
  </si>
  <si>
    <t>Primary key 2 field name of the record the error is related to.</t>
  </si>
  <si>
    <t>Primary key 3 field name of the record the error is related to.</t>
  </si>
  <si>
    <t>The primary key field must exist in the table that is specified in p_table.</t>
  </si>
  <si>
    <t>Field name of the field that contains the error.</t>
  </si>
  <si>
    <t>Message that will be logged with each error.</t>
  </si>
  <si>
    <t xml:space="preserve">WHERE clause that will be checked. </t>
  </si>
  <si>
    <t>With respect to unique check, this column holds the maximum count of grouped records.</t>
  </si>
  <si>
    <t>Description of the check.</t>
  </si>
  <si>
    <t>Indicates whether the check will be executed.</t>
  </si>
  <si>
    <t>Indicates, wther the check was created manually.</t>
  </si>
  <si>
    <t>SysCreatedOn</t>
  </si>
  <si>
    <t>SysCreatedBy</t>
  </si>
  <si>
    <t>SysModifiedOn</t>
  </si>
  <si>
    <t>SysModifiedBy</t>
  </si>
  <si>
    <t>NULL</t>
  </si>
  <si>
    <t>Source System or Source File Name</t>
  </si>
  <si>
    <t>Foreign Key to [LOG].[Execution]</t>
  </si>
  <si>
    <t>Created On in case of on Update</t>
  </si>
  <si>
    <t>Created By in case of on Update</t>
  </si>
  <si>
    <t>NullHandling</t>
  </si>
  <si>
    <t>One row in the table [T1].[TableMetadata] 
represents one column in a table of the source system.</t>
  </si>
  <si>
    <t>Indicates whether nullable columns are to be checked for NULLs.</t>
  </si>
  <si>
    <t>Missing values in not nullable columns will always be logged as an error.
Missing values in nullable columns can be additionally logged in the 
table [LOG].[Error] if the column [NullHandling] is set to either I, W or E.
  I = Information
  W = Warning
  E = Error</t>
  </si>
  <si>
    <t>This hash value will be used for identifying the action (INSERT, UPDATE) of a row.</t>
  </si>
  <si>
    <t>Destination Schema</t>
  </si>
  <si>
    <t>Version Build Number of the calling SSIS Package.</t>
  </si>
  <si>
    <t>Applies only to SSIS packages.</t>
  </si>
  <si>
    <t>CheckData</t>
  </si>
  <si>
    <t>Indicates, whether the procedure spLoadData must decode specical XML characters (e.g. &amp;amp;) when loading data from schema E1 to T1.</t>
  </si>
  <si>
    <t>In case of date, datetime or similar base types, this column holds common format strings that describe the format of date/datetime values.</t>
  </si>
  <si>
    <t>DateStyle</t>
  </si>
  <si>
    <t>DecodeXML</t>
  </si>
  <si>
    <t>PK Type</t>
  </si>
  <si>
    <t>CLUSTERED</t>
  </si>
  <si>
    <t>Home</t>
  </si>
  <si>
    <t>AK1</t>
  </si>
  <si>
    <t>AK2</t>
  </si>
  <si>
    <t>ETL Framework</t>
  </si>
  <si>
    <t>Specifies, whether the PK will be created as a clustered or nonclustered index.</t>
  </si>
  <si>
    <r>
      <t xml:space="preserve">Select a schema from the list. If no schema is specified, then schema </t>
    </r>
    <r>
      <rPr>
        <b/>
        <sz val="10"/>
        <color theme="0" tint="-0.34998626667073579"/>
        <rFont val="Arial"/>
        <family val="2"/>
      </rPr>
      <t>dbo</t>
    </r>
    <r>
      <rPr>
        <sz val="10"/>
        <color theme="0" tint="-0.34998626667073579"/>
        <rFont val="Arial"/>
        <family val="2"/>
      </rPr>
      <t xml:space="preserve"> will be used for table creation (opional).</t>
    </r>
  </si>
  <si>
    <t>Specifiy the table name (mandatory).</t>
  </si>
  <si>
    <t># Copy and paste the worksheet _Template</t>
  </si>
  <si>
    <t># Enter required schemas in worksheet Schema (mandatory) and select a different color for each schema.</t>
  </si>
  <si>
    <t># Select a schema for the table.</t>
  </si>
  <si>
    <t># Enter a table name.</t>
  </si>
  <si>
    <t># Enter table structure</t>
  </si>
  <si>
    <t># For more information see worksheet Readme</t>
  </si>
  <si>
    <t>Acknowledgement:</t>
  </si>
  <si>
    <t>Quick reference:</t>
  </si>
  <si>
    <r>
      <t xml:space="preserve"># Edit a </t>
    </r>
    <r>
      <rPr>
        <b/>
        <sz val="10"/>
        <color theme="0" tint="-0.499984740745262"/>
        <rFont val="Arial"/>
        <family val="2"/>
      </rPr>
      <t xml:space="preserve">Database </t>
    </r>
    <r>
      <rPr>
        <sz val="10"/>
        <color theme="0" tint="-0.499984740745262"/>
        <rFont val="Arial"/>
        <family val="2"/>
      </rPr>
      <t>in worksheet Home!C5 (mandatory)</t>
    </r>
  </si>
  <si>
    <r>
      <t xml:space="preserve"># Edit a </t>
    </r>
    <r>
      <rPr>
        <b/>
        <sz val="10"/>
        <color theme="0" tint="-0.499984740745262"/>
        <rFont val="Arial"/>
        <family val="2"/>
      </rPr>
      <t xml:space="preserve">Description </t>
    </r>
    <r>
      <rPr>
        <sz val="10"/>
        <color theme="0" tint="-0.499984740745262"/>
        <rFont val="Arial"/>
        <family val="2"/>
      </rPr>
      <t xml:space="preserve">(optional), The description will be scripted as extended property. </t>
    </r>
  </si>
  <si>
    <r>
      <t xml:space="preserve"># Edit </t>
    </r>
    <r>
      <rPr>
        <b/>
        <sz val="10"/>
        <color theme="0" tint="-0.499984740745262"/>
        <rFont val="Arial"/>
        <family val="2"/>
      </rPr>
      <t>Version</t>
    </r>
    <r>
      <rPr>
        <sz val="10"/>
        <color theme="0" tint="-0.499984740745262"/>
        <rFont val="Arial"/>
        <family val="2"/>
      </rPr>
      <t xml:space="preserve"> (optional).The version will NOT be scripted as extended property. </t>
    </r>
  </si>
  <si>
    <r>
      <t xml:space="preserve"># Click on link </t>
    </r>
    <r>
      <rPr>
        <b/>
        <sz val="10"/>
        <color theme="0" tint="-0.499984740745262"/>
        <rFont val="Arial"/>
        <family val="2"/>
      </rPr>
      <t xml:space="preserve">Generate script </t>
    </r>
    <r>
      <rPr>
        <sz val="10"/>
        <color theme="0" tint="-0.499984740745262"/>
        <rFont val="Arial"/>
        <family val="2"/>
      </rPr>
      <t>on this worksheet. On clicking this link, the workbook generates a SQL CREATE script in the directory where this workbook is located.</t>
    </r>
  </si>
  <si>
    <t>Worksheet Schema</t>
  </si>
  <si>
    <t>General</t>
  </si>
  <si>
    <t>Technical</t>
  </si>
  <si>
    <t>Colmns</t>
  </si>
  <si>
    <t>Worksheet &lt;Schema&gt;.&lt;Table Name&gt;</t>
  </si>
  <si>
    <t># There is a worksheet Schema where you define all schemas needed.
# With each schema you define a set of fore and background color, that will be applied to the table worksheets according to the selected schema for the table. 
# All entered Schemas will be provided to the devloper in table worksheets.</t>
  </si>
  <si>
    <t># When selecting a schema from the list of defined schemas, the corresponding set of foreground and background color will be applied to the table worksheet.
# The color set will be applied to some cells and ranges as well as to the tab.
# This helps distinguishing the target schema of table worksheets easily, when dealing with a large amount of tables.
# The tab name will be gerenarated automatically, too.</t>
  </si>
  <si>
    <t>Generate Script</t>
  </si>
  <si>
    <t>Specifiy, whether to script this table.</t>
  </si>
  <si>
    <t>Optional: Description of the tables.</t>
  </si>
  <si>
    <r>
      <t xml:space="preserve"># This worksheet contains a range with the name </t>
    </r>
    <r>
      <rPr>
        <b/>
        <sz val="10"/>
        <rFont val="Arial"/>
        <family val="2"/>
      </rPr>
      <t>RowHeader</t>
    </r>
    <r>
      <rPr>
        <sz val="10"/>
        <rFont val="Arial"/>
        <family val="2"/>
      </rPr>
      <t xml:space="preserve"> covering the area </t>
    </r>
    <r>
      <rPr>
        <b/>
        <sz val="10"/>
        <rFont val="Arial"/>
        <family val="2"/>
      </rPr>
      <t>A1:A6</t>
    </r>
    <r>
      <rPr>
        <sz val="10"/>
        <rFont val="Arial"/>
        <family val="2"/>
      </rPr>
      <t xml:space="preserve">.
# This worksheet contains a range with the name </t>
    </r>
    <r>
      <rPr>
        <b/>
        <sz val="10"/>
        <rFont val="Arial"/>
        <family val="2"/>
      </rPr>
      <t>ColumnHeader</t>
    </r>
    <r>
      <rPr>
        <sz val="10"/>
        <rFont val="Arial"/>
        <family val="2"/>
      </rPr>
      <t xml:space="preserve"> covering the area </t>
    </r>
    <r>
      <rPr>
        <b/>
        <sz val="10"/>
        <rFont val="Arial"/>
        <family val="2"/>
      </rPr>
      <t>A8:S9</t>
    </r>
    <r>
      <rPr>
        <sz val="10"/>
        <rFont val="Arial"/>
        <family val="2"/>
      </rPr>
      <t xml:space="preserve">. </t>
    </r>
  </si>
  <si>
    <r>
      <t xml:space="preserve"># This worksheet contains a range with the name </t>
    </r>
    <r>
      <rPr>
        <b/>
        <sz val="10"/>
        <rFont val="Arial"/>
        <family val="2"/>
      </rPr>
      <t xml:space="preserve">Schemas </t>
    </r>
    <r>
      <rPr>
        <sz val="10"/>
        <rFont val="Arial"/>
        <family val="2"/>
      </rPr>
      <t xml:space="preserve">covering the area </t>
    </r>
    <r>
      <rPr>
        <b/>
        <sz val="10"/>
        <rFont val="Arial"/>
        <family val="2"/>
      </rPr>
      <t>A8:B37</t>
    </r>
    <r>
      <rPr>
        <sz val="10"/>
        <rFont val="Arial"/>
        <family val="2"/>
      </rPr>
      <t xml:space="preserve">.
# All found schemas will be scripted. 
# Additionally the area </t>
    </r>
    <r>
      <rPr>
        <b/>
        <sz val="10"/>
        <rFont val="Arial"/>
        <family val="2"/>
      </rPr>
      <t>A8:A37</t>
    </r>
    <r>
      <rPr>
        <sz val="10"/>
        <rFont val="Arial"/>
        <family val="2"/>
      </rPr>
      <t xml:space="preserve"> represents the datasource for the Schema list box in the cell </t>
    </r>
    <r>
      <rPr>
        <b/>
        <sz val="10"/>
        <rFont val="Arial"/>
        <family val="2"/>
      </rPr>
      <t>B1</t>
    </r>
    <r>
      <rPr>
        <sz val="10"/>
        <rFont val="Arial"/>
        <family val="2"/>
      </rPr>
      <t xml:space="preserve"> on the table worksheets.</t>
    </r>
  </si>
  <si>
    <r>
      <t xml:space="preserve"># </t>
    </r>
    <r>
      <rPr>
        <b/>
        <sz val="10"/>
        <rFont val="Arial"/>
        <family val="2"/>
      </rPr>
      <t>Schema Name</t>
    </r>
  </si>
  <si>
    <r>
      <t xml:space="preserve"># </t>
    </r>
    <r>
      <rPr>
        <b/>
        <sz val="10"/>
        <rFont val="Arial"/>
        <family val="2"/>
      </rPr>
      <t>Description</t>
    </r>
  </si>
  <si>
    <r>
      <t xml:space="preserve"># </t>
    </r>
    <r>
      <rPr>
        <b/>
        <sz val="10"/>
        <rFont val="Arial"/>
        <family val="2"/>
      </rPr>
      <t xml:space="preserve">Database Schema
- </t>
    </r>
    <r>
      <rPr>
        <sz val="10"/>
        <rFont val="Arial"/>
        <family val="2"/>
      </rPr>
      <t xml:space="preserve">Select a schema in which the table will be created. 
- When selecting a schema, the tab name will be modified accordingly.
- Optional.
- If the schema is missing, tables will be created in the schema </t>
    </r>
    <r>
      <rPr>
        <b/>
        <sz val="10"/>
        <rFont val="Arial"/>
        <family val="2"/>
      </rPr>
      <t>dbo</t>
    </r>
    <r>
      <rPr>
        <sz val="10"/>
        <rFont val="Arial"/>
        <family val="2"/>
      </rPr>
      <t>.</t>
    </r>
  </si>
  <si>
    <r>
      <t xml:space="preserve"># </t>
    </r>
    <r>
      <rPr>
        <b/>
        <sz val="10"/>
        <rFont val="Arial"/>
        <family val="2"/>
      </rPr>
      <t xml:space="preserve">Table Name
- </t>
    </r>
    <r>
      <rPr>
        <sz val="10"/>
        <rFont val="Arial"/>
        <family val="2"/>
      </rPr>
      <t>Enter a table name for the table.
- When entering a table name, the tab name will be modified accordingly.
- Mandatory.</t>
    </r>
  </si>
  <si>
    <r>
      <t xml:space="preserve"># </t>
    </r>
    <r>
      <rPr>
        <b/>
        <sz val="10"/>
        <rFont val="Arial"/>
        <family val="2"/>
      </rPr>
      <t xml:space="preserve">Table Description
</t>
    </r>
    <r>
      <rPr>
        <sz val="10"/>
        <rFont val="Arial"/>
        <family val="2"/>
      </rPr>
      <t>- Descript of the table.
- Optional.
- Will be scripted.</t>
    </r>
  </si>
  <si>
    <r>
      <t xml:space="preserve"># PK Type
</t>
    </r>
    <r>
      <rPr>
        <sz val="10"/>
        <rFont val="Arial"/>
        <family val="2"/>
      </rPr>
      <t>- Specifies whether a primary key will be created as a non clustered index or a clustered index.
- Available values
   &gt; CLUSTERED
   &gt; NONCLUSTERED
- Optional.
- If the type is missing, the primary key will be created as a clustered index.</t>
    </r>
  </si>
  <si>
    <r>
      <t xml:space="preserve"># </t>
    </r>
    <r>
      <rPr>
        <b/>
        <sz val="10"/>
        <rFont val="Arial"/>
        <family val="2"/>
      </rPr>
      <t xml:space="preserve">Comments
</t>
    </r>
    <r>
      <rPr>
        <sz val="10"/>
        <rFont val="Arial"/>
        <family val="2"/>
      </rPr>
      <t>- Comment the table in this cell.
- The comment will not be scripted.</t>
    </r>
  </si>
  <si>
    <r>
      <t xml:space="preserve"># </t>
    </r>
    <r>
      <rPr>
        <b/>
        <sz val="10"/>
        <rFont val="Arial"/>
        <family val="2"/>
      </rPr>
      <t>Column Name</t>
    </r>
    <r>
      <rPr>
        <sz val="10"/>
        <rFont val="Arial"/>
        <family val="2"/>
      </rPr>
      <t xml:space="preserve">
- Colmn Name.
- Will be scripted.
- Mandatory.</t>
    </r>
  </si>
  <si>
    <t>NONCLUSTERD</t>
  </si>
  <si>
    <r>
      <t xml:space="preserve"># </t>
    </r>
    <r>
      <rPr>
        <b/>
        <sz val="10"/>
        <rFont val="Arial"/>
        <family val="2"/>
      </rPr>
      <t>Display Name</t>
    </r>
    <r>
      <rPr>
        <sz val="10"/>
        <rFont val="Arial"/>
        <family val="2"/>
      </rPr>
      <t xml:space="preserve">
- Colmn Name.
- Otional.
- Will be scripted as extended property.</t>
    </r>
  </si>
  <si>
    <r>
      <t xml:space="preserve"># </t>
    </r>
    <r>
      <rPr>
        <b/>
        <sz val="10"/>
        <rFont val="Arial"/>
        <family val="2"/>
      </rPr>
      <t>Description</t>
    </r>
    <r>
      <rPr>
        <sz val="10"/>
        <rFont val="Arial"/>
        <family val="2"/>
      </rPr>
      <t xml:space="preserve">
- Description of the column.
- Otional.
- Will be scripted as extended property.</t>
    </r>
  </si>
  <si>
    <r>
      <t xml:space="preserve"># </t>
    </r>
    <r>
      <rPr>
        <b/>
        <sz val="10"/>
        <rFont val="Arial"/>
        <family val="2"/>
      </rPr>
      <t>Example Values</t>
    </r>
    <r>
      <rPr>
        <sz val="10"/>
        <rFont val="Arial"/>
        <family val="2"/>
      </rPr>
      <t xml:space="preserve">
- Specify example values as a TEXT with a preceeding apostroph (e.g. '02/25/2019).
- Otional.
- Will be scripted as extended property.</t>
    </r>
  </si>
  <si>
    <r>
      <t xml:space="preserve"># </t>
    </r>
    <r>
      <rPr>
        <b/>
        <sz val="10"/>
        <rFont val="Arial"/>
        <family val="2"/>
      </rPr>
      <t>Comments</t>
    </r>
    <r>
      <rPr>
        <sz val="10"/>
        <rFont val="Arial"/>
        <family val="2"/>
      </rPr>
      <t xml:space="preserve">
- Comment the column in this cell.
- The comment will not be scripted.</t>
    </r>
  </si>
  <si>
    <r>
      <t xml:space="preserve"># </t>
    </r>
    <r>
      <rPr>
        <b/>
        <sz val="10"/>
        <rFont val="Arial"/>
        <family val="2"/>
      </rPr>
      <t>Datatype</t>
    </r>
    <r>
      <rPr>
        <sz val="10"/>
        <rFont val="Arial"/>
        <family val="2"/>
      </rPr>
      <t xml:space="preserve">
- Specify the datatype without precision.
- e.g. </t>
    </r>
    <r>
      <rPr>
        <b/>
        <sz val="10"/>
        <rFont val="Arial"/>
        <family val="2"/>
      </rPr>
      <t>nvarchar</t>
    </r>
    <r>
      <rPr>
        <sz val="10"/>
        <rFont val="Arial"/>
        <family val="2"/>
      </rPr>
      <t xml:space="preserve"> -or- </t>
    </r>
    <r>
      <rPr>
        <b/>
        <sz val="10"/>
        <rFont val="Arial"/>
        <family val="2"/>
      </rPr>
      <t>datetime2</t>
    </r>
  </si>
  <si>
    <r>
      <t xml:space="preserve"># Size
- If applicable, specifiy the size of the datatype.
- e.g. </t>
    </r>
    <r>
      <rPr>
        <b/>
        <sz val="10"/>
        <rFont val="Arial"/>
        <family val="2"/>
      </rPr>
      <t xml:space="preserve">200 </t>
    </r>
    <r>
      <rPr>
        <sz val="10"/>
        <rFont val="Arial"/>
        <family val="2"/>
      </rPr>
      <t xml:space="preserve">for </t>
    </r>
    <r>
      <rPr>
        <b/>
        <sz val="10"/>
        <rFont val="Arial"/>
        <family val="2"/>
      </rPr>
      <t>nvarchar(200)</t>
    </r>
  </si>
  <si>
    <t># Precision
- If applicable, specifiy the precision of the datatype.
- e.g. 2 for decimal(12, 2)</t>
  </si>
  <si>
    <r>
      <t xml:space="preserve"># </t>
    </r>
    <r>
      <rPr>
        <b/>
        <sz val="10"/>
        <rFont val="Arial"/>
        <family val="2"/>
      </rPr>
      <t>PK</t>
    </r>
    <r>
      <rPr>
        <sz val="10"/>
        <rFont val="Arial"/>
        <family val="2"/>
      </rPr>
      <t xml:space="preserve">
- Specifiy, whether the column is part of a primary or foreign key.
- Possible values
   &gt; PK = Primary Key
   &gt; ID = Identity
   &gt; FK = Foreign Key
You can combine </t>
    </r>
    <r>
      <rPr>
        <b/>
        <sz val="10"/>
        <rFont val="Arial"/>
        <family val="2"/>
      </rPr>
      <t>PK ID</t>
    </r>
    <r>
      <rPr>
        <sz val="10"/>
        <rFont val="Arial"/>
        <family val="2"/>
      </rPr>
      <t xml:space="preserve"> to indicate an IDENTITY.</t>
    </r>
  </si>
  <si>
    <r>
      <t xml:space="preserve"># </t>
    </r>
    <r>
      <rPr>
        <b/>
        <sz val="10"/>
        <rFont val="Arial"/>
        <family val="2"/>
      </rPr>
      <t>AK2</t>
    </r>
    <r>
      <rPr>
        <sz val="10"/>
        <rFont val="Arial"/>
        <family val="2"/>
      </rPr>
      <t xml:space="preserve">
- Specifiy, whether the column is part of an alternate key (AK 2).
- Enter an index beginning with 1 for each column that is part of the alternate key.</t>
    </r>
  </si>
  <si>
    <r>
      <t xml:space="preserve"># </t>
    </r>
    <r>
      <rPr>
        <b/>
        <sz val="10"/>
        <rFont val="Arial"/>
        <family val="2"/>
      </rPr>
      <t>AK1</t>
    </r>
    <r>
      <rPr>
        <sz val="10"/>
        <rFont val="Arial"/>
        <family val="2"/>
      </rPr>
      <t xml:space="preserve">
- Specifiy, whether the column is part of an alternate key (AK 1).
- Enter an index beginning with 1 for each column that is part of the alternate key.</t>
    </r>
  </si>
  <si>
    <t>_Template</t>
  </si>
  <si>
    <r>
      <t xml:space="preserve"># </t>
    </r>
    <r>
      <rPr>
        <b/>
        <sz val="10"/>
        <rFont val="Arial"/>
        <family val="2"/>
      </rPr>
      <t>NULL</t>
    </r>
    <r>
      <rPr>
        <sz val="10"/>
        <rFont val="Arial"/>
        <family val="2"/>
      </rPr>
      <t xml:space="preserve">
- Specifiy whether the colun allows NULLs.
- Available values
   &gt; Y
   &gt; N
- Mandatory.</t>
    </r>
  </si>
  <si>
    <r>
      <t xml:space="preserve"># </t>
    </r>
    <r>
      <rPr>
        <b/>
        <sz val="10"/>
        <rFont val="Arial"/>
        <family val="2"/>
      </rPr>
      <t>Source Field Name</t>
    </r>
    <r>
      <rPr>
        <sz val="10"/>
        <rFont val="Arial"/>
        <family val="2"/>
      </rPr>
      <t xml:space="preserve">
- Documentation of the data source.</t>
    </r>
  </si>
  <si>
    <r>
      <t xml:space="preserve"># </t>
    </r>
    <r>
      <rPr>
        <b/>
        <sz val="10"/>
        <rFont val="Arial"/>
        <family val="2"/>
      </rPr>
      <t>Source Table</t>
    </r>
    <r>
      <rPr>
        <sz val="10"/>
        <rFont val="Arial"/>
        <family val="2"/>
      </rPr>
      <t xml:space="preserve">
- Documentation of the data source.</t>
    </r>
  </si>
  <si>
    <r>
      <t xml:space="preserve"># </t>
    </r>
    <r>
      <rPr>
        <b/>
        <sz val="10"/>
        <rFont val="Arial"/>
        <family val="2"/>
      </rPr>
      <t>Source Schema</t>
    </r>
    <r>
      <rPr>
        <sz val="10"/>
        <rFont val="Arial"/>
        <family val="2"/>
      </rPr>
      <t xml:space="preserve">
- Documentation of the data source.</t>
    </r>
  </si>
  <si>
    <r>
      <t xml:space="preserve"># </t>
    </r>
    <r>
      <rPr>
        <b/>
        <sz val="10"/>
        <rFont val="Arial"/>
        <family val="2"/>
      </rPr>
      <t>Source System</t>
    </r>
    <r>
      <rPr>
        <sz val="10"/>
        <rFont val="Arial"/>
        <family val="2"/>
      </rPr>
      <t xml:space="preserve">
- Documentation of the data source.</t>
    </r>
  </si>
  <si>
    <r>
      <t xml:space="preserve"># </t>
    </r>
    <r>
      <rPr>
        <b/>
        <sz val="10"/>
        <rFont val="Arial"/>
        <family val="2"/>
      </rPr>
      <t>Default Value</t>
    </r>
    <r>
      <rPr>
        <sz val="10"/>
        <rFont val="Arial"/>
        <family val="2"/>
      </rPr>
      <t xml:space="preserve">
- Specify a default value for a new row.</t>
    </r>
  </si>
  <si>
    <r>
      <t xml:space="preserve"># </t>
    </r>
    <r>
      <rPr>
        <b/>
        <sz val="10"/>
        <rFont val="Arial"/>
        <family val="2"/>
      </rPr>
      <t>Source Datatype</t>
    </r>
    <r>
      <rPr>
        <sz val="10"/>
        <rFont val="Arial"/>
        <family val="2"/>
      </rPr>
      <t xml:space="preserve">
- Documentation of the data source.</t>
    </r>
  </si>
  <si>
    <t>Readme</t>
  </si>
  <si>
    <t>Content</t>
  </si>
  <si>
    <t>Change Log</t>
  </si>
  <si>
    <t>Update Content</t>
  </si>
  <si>
    <r>
      <t xml:space="preserve"># </t>
    </r>
    <r>
      <rPr>
        <b/>
        <sz val="10"/>
        <rFont val="Arial"/>
        <family val="2"/>
      </rPr>
      <t xml:space="preserve">Generate Script
</t>
    </r>
    <r>
      <rPr>
        <sz val="10"/>
        <rFont val="Arial"/>
        <family val="2"/>
      </rPr>
      <t xml:space="preserve">- If the table is not to be scripted, select the value N, otherwise Y.
- Available values
   &gt; Y
   &gt; N
- Optional.
- If the infomation is missing, the table will </t>
    </r>
    <r>
      <rPr>
        <b/>
        <sz val="10"/>
        <rFont val="Arial"/>
        <family val="2"/>
      </rPr>
      <t>not</t>
    </r>
    <r>
      <rPr>
        <sz val="10"/>
        <rFont val="Arial"/>
        <family val="2"/>
      </rPr>
      <t xml:space="preserve"> be scripted.</t>
    </r>
  </si>
  <si>
    <t>Table contains logging information for each component (e.g. SSIS package -or- SQL Proceure) of the process</t>
  </si>
  <si>
    <r>
      <t xml:space="preserve"># </t>
    </r>
    <r>
      <rPr>
        <b/>
        <sz val="10"/>
        <rFont val="Arial"/>
        <family val="2"/>
      </rPr>
      <t>FK to</t>
    </r>
    <r>
      <rPr>
        <sz val="10"/>
        <rFont val="Arial"/>
        <family val="2"/>
      </rPr>
      <t xml:space="preserve">
- For foreign keys specify the schema, table and column reference to the primary key of the table to which this entry is a foreign key.
- Format: </t>
    </r>
    <r>
      <rPr>
        <b/>
        <sz val="10"/>
        <rFont val="Arial"/>
        <family val="2"/>
      </rPr>
      <t>schema.tablename.columnname</t>
    </r>
    <r>
      <rPr>
        <sz val="10"/>
        <rFont val="Arial"/>
        <family val="2"/>
      </rPr>
      <t>.</t>
    </r>
  </si>
  <si>
    <t>Datamart</t>
  </si>
  <si>
    <t>Data warehouse</t>
  </si>
  <si>
    <t>L2</t>
  </si>
  <si>
    <r>
      <t xml:space="preserve"># This worksheet contains a range with the name </t>
    </r>
    <r>
      <rPr>
        <b/>
        <sz val="10"/>
        <rFont val="Arial"/>
        <family val="2"/>
      </rPr>
      <t>Schemas</t>
    </r>
    <r>
      <rPr>
        <sz val="10"/>
        <rFont val="Arial"/>
        <family val="2"/>
      </rPr>
      <t xml:space="preserve"> covering the area </t>
    </r>
    <r>
      <rPr>
        <b/>
        <sz val="10"/>
        <rFont val="Arial"/>
        <family val="2"/>
      </rPr>
      <t>A8:B37</t>
    </r>
    <r>
      <rPr>
        <sz val="10"/>
        <rFont val="Arial"/>
        <family val="2"/>
      </rPr>
      <t xml:space="preserve">.
# All found schemas will be scripted.
# Additionally the area </t>
    </r>
    <r>
      <rPr>
        <b/>
        <sz val="10"/>
        <rFont val="Arial"/>
        <family val="2"/>
      </rPr>
      <t>A8:A37</t>
    </r>
    <r>
      <rPr>
        <sz val="10"/>
        <rFont val="Arial"/>
        <family val="2"/>
      </rPr>
      <t xml:space="preserve"> represents the datasource for the Schema list box in the cell </t>
    </r>
    <r>
      <rPr>
        <b/>
        <sz val="10"/>
        <rFont val="Arial"/>
        <family val="2"/>
      </rPr>
      <t>B1</t>
    </r>
    <r>
      <rPr>
        <sz val="10"/>
        <rFont val="Arial"/>
        <family val="2"/>
      </rPr>
      <t xml:space="preserve"> on the table worksheets.</t>
    </r>
  </si>
  <si>
    <t>Worksheet Home</t>
  </si>
  <si>
    <t>Rows</t>
  </si>
  <si>
    <r>
      <t xml:space="preserve"># </t>
    </r>
    <r>
      <rPr>
        <b/>
        <sz val="10"/>
        <rFont val="Arial"/>
        <family val="2"/>
      </rPr>
      <t xml:space="preserve">Date
- </t>
    </r>
    <r>
      <rPr>
        <sz val="10"/>
        <rFont val="Arial"/>
        <family val="2"/>
      </rPr>
      <t>Enter the date of the last modification.
- Optional.
- This value will not be scripted.</t>
    </r>
  </si>
  <si>
    <r>
      <t xml:space="preserve"># </t>
    </r>
    <r>
      <rPr>
        <b/>
        <sz val="10"/>
        <rFont val="Arial"/>
        <family val="2"/>
      </rPr>
      <t xml:space="preserve">Database
- </t>
    </r>
    <r>
      <rPr>
        <sz val="10"/>
        <rFont val="Arial"/>
        <family val="2"/>
      </rPr>
      <t>Enter the name of the database.
- Mandatory.
- The must be not be longer than 128 characters.
- The name must be a regular identifier.</t>
    </r>
  </si>
  <si>
    <r>
      <t xml:space="preserve"># </t>
    </r>
    <r>
      <rPr>
        <b/>
        <sz val="10"/>
        <rFont val="Arial"/>
        <family val="2"/>
      </rPr>
      <t xml:space="preserve">Description
- </t>
    </r>
    <r>
      <rPr>
        <sz val="10"/>
        <rFont val="Arial"/>
        <family val="2"/>
      </rPr>
      <t>Enter the name of the database.
- Optional.
- This value will be scripted.</t>
    </r>
  </si>
  <si>
    <r>
      <t xml:space="preserve"># </t>
    </r>
    <r>
      <rPr>
        <b/>
        <sz val="10"/>
        <rFont val="Arial"/>
        <family val="2"/>
      </rPr>
      <t xml:space="preserve">Version
- </t>
    </r>
    <r>
      <rPr>
        <sz val="10"/>
        <rFont val="Arial"/>
        <family val="2"/>
      </rPr>
      <t>Enter the name of the database.
- Optional.
- This value will be scripted.</t>
    </r>
  </si>
  <si>
    <t>Length</t>
  </si>
  <si>
    <t>ToDo:</t>
  </si>
  <si>
    <t>Description of the database</t>
  </si>
  <si>
    <t>Null Handling</t>
  </si>
  <si>
    <t># Apply Null Handling in script data_CONFIG_CheckConstraints_generate.sql</t>
  </si>
  <si>
    <t>Table contains information about the files to import into the E1</t>
  </si>
  <si>
    <t>Test table for testing the Error Log.</t>
  </si>
  <si>
    <t>123</t>
  </si>
  <si>
    <t>Domain\TechUser1</t>
  </si>
  <si>
    <t>Indicates, whether the procedure spLoadData must check the data format when loading data from schema E1 to T1. Checking the data requires an additional field in schema T1 with the same name and the suffix _E1. With CheckData the procedure [T1].[spLoadData] will take the additional fields into account when loading data from E1 to T1.</t>
  </si>
  <si>
    <t>SysHashPrimaryKey</t>
  </si>
  <si>
    <t>SysHashAttributes</t>
  </si>
  <si>
    <t># The idea, structure and coding elements of and in this workbook is based on the dimensional modeling workbook created by Joy Mundy and Warren Thornthwaite as part of
the book "The Microsoft Data Warehouse Toolkit (Wiley, 2006)". 
# Please visit http://www.kimballgroup.com for more information.
# The main purpose of the original document was the documentation of a DWH and the generation of a SQL database create script of the DWH.
# As this output appeared to be too specific to me, I have reduced the workbook to the very basics of database creation by removing the DWH specific elements and adding some helpful features with related to Schema definitions and selection. 
# The orginial code was completely reenginered.</t>
  </si>
  <si>
    <t>sec</t>
  </si>
  <si>
    <t>Security Layer</t>
  </si>
  <si>
    <t>Keyword</t>
  </si>
  <si>
    <t>commit</t>
  </si>
  <si>
    <t>sample05_Create</t>
  </si>
  <si>
    <t>Field1</t>
  </si>
  <si>
    <t>Field2</t>
  </si>
  <si>
    <t>Field3</t>
  </si>
  <si>
    <t>Field4</t>
  </si>
  <si>
    <t>Any Text</t>
  </si>
  <si>
    <t>IP Address</t>
  </si>
  <si>
    <t>name@domain.com</t>
  </si>
  <si>
    <t>192.168.0.21</t>
  </si>
  <si>
    <t>IPv4Adress</t>
  </si>
  <si>
    <t>Execution ID</t>
  </si>
  <si>
    <t>Status</t>
  </si>
  <si>
    <t>DateCreated</t>
  </si>
  <si>
    <t>DateModified</t>
  </si>
  <si>
    <t>MappedToContact</t>
  </si>
  <si>
    <t>NotificationEmailAddress1</t>
  </si>
  <si>
    <t>NotificationEmailAddress2</t>
  </si>
  <si>
    <t>Salutation</t>
  </si>
  <si>
    <t>Mr.</t>
  </si>
  <si>
    <t>Mapped to Contact</t>
  </si>
  <si>
    <t>Notification Email Address 1</t>
  </si>
  <si>
    <t>Notification Email Address 2</t>
  </si>
  <si>
    <t>FirstName</t>
  </si>
  <si>
    <t>LastName</t>
  </si>
  <si>
    <t>First Name</t>
  </si>
  <si>
    <t>Last Name</t>
  </si>
  <si>
    <t>Registered</t>
  </si>
  <si>
    <t>Count</t>
  </si>
  <si>
    <t>Weight</t>
  </si>
  <si>
    <t>Active</t>
  </si>
  <si>
    <t>BotCodeKeywordCounter</t>
  </si>
  <si>
    <t>BotCodeKeyword</t>
  </si>
  <si>
    <t>Status_E1</t>
  </si>
  <si>
    <t>DateCreated_E1</t>
  </si>
  <si>
    <t>DateModified_E1</t>
  </si>
  <si>
    <t>MappedToContact_E1</t>
  </si>
  <si>
    <t>NotificationEmailAddress1_E1</t>
  </si>
  <si>
    <t>NotificationEmailAddress2_E1</t>
  </si>
  <si>
    <t>Salutation_E1</t>
  </si>
  <si>
    <t>FirstName_E1</t>
  </si>
  <si>
    <t>LastName_E1</t>
  </si>
  <si>
    <t>Field1_E1</t>
  </si>
  <si>
    <t>Field2_E1</t>
  </si>
  <si>
    <t>Field3_E1</t>
  </si>
  <si>
    <t>Field4_E1</t>
  </si>
  <si>
    <t>nvarchar(max)</t>
  </si>
  <si>
    <t>SchemaID</t>
  </si>
  <si>
    <t>TableID</t>
  </si>
  <si>
    <t>SQL Server Table ID</t>
  </si>
  <si>
    <t>SQL Server Schema ID</t>
  </si>
  <si>
    <t>[sys].[schemas].[schema_id]</t>
  </si>
  <si>
    <t>[sys].[tables].[object_id]</t>
  </si>
  <si>
    <t>[sys].[schemas].[name]</t>
  </si>
  <si>
    <t>[sys].[tables].[name]</t>
  </si>
  <si>
    <t>[sys].[columns].[name]</t>
  </si>
  <si>
    <t>[sys].[columns].[column_id]</t>
  </si>
  <si>
    <t>ColumnID</t>
  </si>
  <si>
    <t>[Datatype]</t>
  </si>
  <si>
    <t>[sys].[types].[Datatype]</t>
  </si>
  <si>
    <t>SQL Server Datatype Name</t>
  </si>
  <si>
    <t>[max_length]</t>
  </si>
  <si>
    <t>[is_nullable]</t>
  </si>
  <si>
    <t>[sys].[columns].[max_length]</t>
  </si>
  <si>
    <t>[sys].[columns].[is_nullable]</t>
  </si>
  <si>
    <t>This values specifies the number o characters and not the number o bytes.</t>
  </si>
  <si>
    <t>SQL Server Datatype Length</t>
  </si>
  <si>
    <t>SQL Server Datatype Precision</t>
  </si>
  <si>
    <t>SQL Server Datatype Scale</t>
  </si>
  <si>
    <t>IsIdentity</t>
  </si>
  <si>
    <t>Coulmn is Nullable</t>
  </si>
  <si>
    <t>Coulmn is Identity</t>
  </si>
  <si>
    <t>[is_identity]</t>
  </si>
  <si>
    <t>[precision]</t>
  </si>
  <si>
    <t>[scale]</t>
  </si>
  <si>
    <t>[collation]</t>
  </si>
  <si>
    <t>[sys].[columns].[precision]</t>
  </si>
  <si>
    <t>[sys].[columns].[collation]</t>
  </si>
  <si>
    <t>[sys].[columns].[scale]</t>
  </si>
  <si>
    <t>[sys].[columns].[is_identity]</t>
  </si>
  <si>
    <t>IsUserDefined</t>
  </si>
  <si>
    <t>True if [sys].[tables].[type] = 'U'</t>
  </si>
  <si>
    <t>Table is User Defined</t>
  </si>
  <si>
    <t>SQL Server Collation Name</t>
  </si>
  <si>
    <t>The index will be used to automatically calculate a hash value over the primary columns. 
If a primary key covers more than one column, the primary key columns must be 
indexed in ths field beginning with 1.</t>
  </si>
  <si>
    <t>[sys].[index_columns].[index_column_id]</t>
  </si>
  <si>
    <t>IndexPrimaryKey</t>
  </si>
  <si>
    <t>IndexNonPrimaryKey</t>
  </si>
  <si>
    <t>Index of Non Primary Key Columns</t>
  </si>
  <si>
    <t>Index of Primary Key Columns</t>
  </si>
  <si>
    <t>All non primary key columns are indexed beginning with one along the column [sys].[columns].[column_id].</t>
  </si>
  <si>
    <t>[schema_id]</t>
  </si>
  <si>
    <t>[name]</t>
  </si>
  <si>
    <t>[object_id]</t>
  </si>
  <si>
    <t>[column_id]</t>
  </si>
  <si>
    <t>[index_column_id]</t>
  </si>
  <si>
    <t>[sys]</t>
  </si>
  <si>
    <t>[schemas]</t>
  </si>
  <si>
    <t>[tables]</t>
  </si>
  <si>
    <t>[columns]</t>
  </si>
  <si>
    <t>[index_columns]</t>
  </si>
  <si>
    <t>[types]</t>
  </si>
  <si>
    <t>X</t>
  </si>
  <si>
    <t>Test</t>
  </si>
  <si>
    <t>Test data</t>
  </si>
  <si>
    <t>SysWarning</t>
  </si>
  <si>
    <t>Number of Errors</t>
  </si>
  <si>
    <t>SysError</t>
  </si>
  <si>
    <t>Number of Warnings</t>
  </si>
  <si>
    <t>Salutation_Count</t>
  </si>
  <si>
    <t>FirstName_Count</t>
  </si>
  <si>
    <t>LastName_Count</t>
  </si>
  <si>
    <t>Field1_Count</t>
  </si>
  <si>
    <t>Field2_Count</t>
  </si>
  <si>
    <t>Field3_Count</t>
  </si>
  <si>
    <t>Field4_Count</t>
  </si>
  <si>
    <t>DateCreated_Count</t>
  </si>
  <si>
    <t>DateModified_Count</t>
  </si>
  <si>
    <t>MappedToContact_Count</t>
  </si>
  <si>
    <t>IPv4Address</t>
  </si>
  <si>
    <t>IPv4Address_E1</t>
  </si>
  <si>
    <t>IPv4Address_Count</t>
  </si>
  <si>
    <t>DeltaStart</t>
  </si>
  <si>
    <t>Period of delta load (start)</t>
  </si>
  <si>
    <t>DeltaEnd</t>
  </si>
  <si>
    <t>Period of delta load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</si>
</sst>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 _€_-;\-* #,##0.00\ _€_-;_-* &quot;-&quot;??\ _€_-;_-@_-"/>
  </numFmts>
  <fonts count="41" x14ac:knownFonts="1">
    <font>
      <sz val="10"/>
      <name val="Arial"/>
    </font>
    <font>
      <sz val="11"/>
      <color indexed="8"/>
      <name val="Calibri"/>
      <family val="2"/>
    </font>
    <font>
      <sz val="10"/>
      <name val="Arial"/>
      <family val="2"/>
    </font>
    <font>
      <sz val="8"/>
      <name val="Arial"/>
      <family val="2"/>
    </font>
    <font>
      <b/>
      <sz val="10"/>
      <name val="Arial"/>
      <family val="2"/>
    </font>
    <font>
      <b/>
      <sz val="14"/>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Arial"/>
      <family val="2"/>
    </font>
    <font>
      <u/>
      <sz val="10"/>
      <color indexed="12"/>
      <name val="Arial"/>
      <family val="2"/>
    </font>
    <font>
      <sz val="10"/>
      <color indexed="9"/>
      <name val="Arial"/>
      <family val="2"/>
    </font>
    <font>
      <sz val="10"/>
      <name val="Arial"/>
      <family val="2"/>
    </font>
    <font>
      <sz val="10"/>
      <name val="Arial"/>
      <family val="2"/>
    </font>
    <font>
      <sz val="10"/>
      <name val="Arial"/>
      <family val="2"/>
    </font>
    <font>
      <sz val="10"/>
      <name val="Arial"/>
      <family val="2"/>
    </font>
    <font>
      <sz val="11"/>
      <color theme="1"/>
      <name val="Calibri"/>
      <family val="2"/>
      <scheme val="minor"/>
    </font>
    <font>
      <sz val="10"/>
      <color theme="0"/>
      <name val="Arial"/>
      <family val="2"/>
    </font>
    <font>
      <sz val="10"/>
      <color rgb="FF000000"/>
      <name val="Arial"/>
      <family val="2"/>
    </font>
    <font>
      <b/>
      <sz val="10"/>
      <color rgb="FF000000"/>
      <name val="Arial"/>
      <family val="2"/>
    </font>
    <font>
      <sz val="10"/>
      <color theme="0" tint="-0.34998626667073579"/>
      <name val="Arial"/>
      <family val="2"/>
    </font>
    <font>
      <b/>
      <sz val="10"/>
      <color theme="0" tint="-0.34998626667073579"/>
      <name val="Arial"/>
      <family val="2"/>
    </font>
    <font>
      <sz val="10"/>
      <color rgb="FFFFFFFF"/>
      <name val="Arial"/>
      <family val="2"/>
    </font>
    <font>
      <b/>
      <sz val="10"/>
      <color rgb="FFFFFFFF"/>
      <name val="Arial"/>
      <family val="2"/>
    </font>
    <font>
      <b/>
      <sz val="10"/>
      <color theme="0" tint="-0.499984740745262"/>
      <name val="Arial"/>
      <family val="2"/>
    </font>
    <font>
      <sz val="10"/>
      <color theme="0" tint="-0.499984740745262"/>
      <name val="Arial"/>
      <family val="2"/>
    </font>
    <font>
      <i/>
      <sz val="10"/>
      <color theme="0" tint="-0.34998626667073579"/>
      <name val="Arial"/>
      <family val="2"/>
    </font>
  </fonts>
  <fills count="37">
    <fill>
      <patternFill patternType="none"/>
    </fill>
    <fill>
      <patternFill patternType="gray125"/>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54"/>
        <bgColor indexed="54"/>
      </patternFill>
    </fill>
    <fill>
      <patternFill patternType="solid">
        <fgColor indexed="25"/>
        <bgColor indexed="25"/>
      </patternFill>
    </fill>
    <fill>
      <patternFill patternType="solid">
        <fgColor indexed="49"/>
        <bgColor indexed="49"/>
      </patternFill>
    </fill>
    <fill>
      <patternFill patternType="solid">
        <fgColor indexed="52"/>
        <bgColor indexed="52"/>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45"/>
        <bgColor indexed="4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2"/>
        <bgColor indexed="64"/>
      </patternFill>
    </fill>
    <fill>
      <patternFill patternType="solid">
        <fgColor theme="6"/>
        <bgColor indexed="64"/>
      </patternFill>
    </fill>
    <fill>
      <patternFill patternType="solid">
        <fgColor theme="7"/>
        <bgColor indexed="64"/>
      </patternFill>
    </fill>
    <fill>
      <patternFill patternType="solid">
        <fgColor theme="5"/>
        <bgColor indexed="64"/>
      </patternFill>
    </fill>
    <fill>
      <patternFill patternType="solid">
        <fgColor theme="4"/>
        <bgColor indexed="64"/>
      </patternFill>
    </fill>
    <fill>
      <patternFill patternType="solid">
        <fgColor theme="3"/>
        <bgColor indexed="64"/>
      </patternFill>
    </fill>
    <fill>
      <patternFill patternType="solid">
        <fgColor rgb="FFEEECE1"/>
        <bgColor indexed="64"/>
      </patternFill>
    </fill>
    <fill>
      <patternFill patternType="solid">
        <fgColor rgb="FFC0504D"/>
        <bgColor indexed="64"/>
      </patternFill>
    </fill>
    <fill>
      <patternFill patternType="solid">
        <fgColor rgb="FF9BBB59"/>
        <bgColor indexed="64"/>
      </patternFill>
    </fill>
    <fill>
      <patternFill patternType="solid">
        <fgColor theme="8"/>
        <bgColor indexed="64"/>
      </patternFill>
    </fill>
    <fill>
      <patternFill patternType="solid">
        <fgColor theme="9" tint="-0.249977111117893"/>
        <bgColor indexed="64"/>
      </patternFill>
    </fill>
    <fill>
      <patternFill patternType="solid">
        <fgColor rgb="FFE26B0A"/>
        <bgColor indexed="64"/>
      </patternFill>
    </fill>
    <fill>
      <patternFill patternType="solid">
        <fgColor rgb="FF1F497D"/>
        <bgColor indexed="64"/>
      </patternFill>
    </fill>
    <fill>
      <patternFill patternType="solid">
        <fgColor rgb="FF4F81BD"/>
        <bgColor indexed="64"/>
      </patternFill>
    </fill>
  </fills>
  <borders count="1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54"/>
      </top>
      <bottom style="double">
        <color indexed="54"/>
      </bottom>
      <diagonal/>
    </border>
    <border>
      <left style="thin">
        <color indexed="22"/>
      </left>
      <right style="thin">
        <color indexed="22"/>
      </right>
      <top style="thin">
        <color indexed="22"/>
      </top>
      <bottom style="thin">
        <color indexed="22"/>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s>
  <cellStyleXfs count="342">
    <xf numFmtId="0" fontId="0" fillId="0" borderId="0"/>
    <xf numFmtId="0" fontId="8" fillId="2" borderId="0" applyNumberFormat="0" applyBorder="0" applyAlignment="0" applyProtection="0"/>
    <xf numFmtId="0" fontId="1" fillId="2" borderId="0" applyNumberFormat="0" applyBorder="0" applyAlignment="0" applyProtection="0"/>
    <xf numFmtId="0" fontId="8" fillId="2" borderId="0" applyNumberFormat="0" applyBorder="0" applyAlignment="0" applyProtection="0"/>
    <xf numFmtId="0" fontId="1"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1" fillId="4" borderId="0" applyNumberFormat="0" applyBorder="0" applyAlignment="0" applyProtection="0"/>
    <xf numFmtId="0" fontId="8" fillId="5" borderId="0" applyNumberFormat="0" applyBorder="0" applyAlignment="0" applyProtection="0"/>
    <xf numFmtId="0" fontId="1" fillId="5" borderId="0" applyNumberFormat="0" applyBorder="0" applyAlignment="0" applyProtection="0"/>
    <xf numFmtId="0" fontId="7" fillId="6" borderId="0" applyNumberFormat="0" applyBorder="0" applyAlignment="0" applyProtection="0"/>
    <xf numFmtId="0" fontId="8" fillId="4" borderId="0" applyNumberFormat="0" applyBorder="0" applyAlignment="0" applyProtection="0"/>
    <xf numFmtId="0" fontId="1" fillId="4" borderId="0" applyNumberFormat="0" applyBorder="0" applyAlignment="0" applyProtection="0"/>
    <xf numFmtId="0" fontId="8" fillId="7" borderId="0" applyNumberFormat="0" applyBorder="0" applyAlignment="0" applyProtection="0"/>
    <xf numFmtId="0" fontId="1" fillId="7" borderId="0" applyNumberFormat="0" applyBorder="0" applyAlignment="0" applyProtection="0"/>
    <xf numFmtId="0" fontId="7" fillId="5" borderId="0" applyNumberFormat="0" applyBorder="0" applyAlignment="0" applyProtection="0"/>
    <xf numFmtId="0" fontId="8" fillId="2" borderId="0" applyNumberFormat="0" applyBorder="0" applyAlignment="0" applyProtection="0"/>
    <xf numFmtId="0" fontId="1" fillId="2" borderId="0" applyNumberFormat="0" applyBorder="0" applyAlignment="0" applyProtection="0"/>
    <xf numFmtId="0" fontId="8" fillId="5" borderId="0" applyNumberFormat="0" applyBorder="0" applyAlignment="0" applyProtection="0"/>
    <xf numFmtId="0" fontId="1" fillId="5" borderId="0" applyNumberFormat="0" applyBorder="0" applyAlignment="0" applyProtection="0"/>
    <xf numFmtId="0" fontId="7" fillId="5" borderId="0" applyNumberFormat="0" applyBorder="0" applyAlignment="0" applyProtection="0"/>
    <xf numFmtId="0" fontId="8" fillId="8" borderId="0" applyNumberFormat="0" applyBorder="0" applyAlignment="0" applyProtection="0"/>
    <xf numFmtId="0" fontId="1" fillId="8" borderId="0" applyNumberFormat="0" applyBorder="0" applyAlignment="0" applyProtection="0"/>
    <xf numFmtId="0" fontId="8" fillId="2" borderId="0" applyNumberFormat="0" applyBorder="0" applyAlignment="0" applyProtection="0"/>
    <xf numFmtId="0" fontId="1"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1" fillId="4" borderId="0" applyNumberFormat="0" applyBorder="0" applyAlignment="0" applyProtection="0"/>
    <xf numFmtId="0" fontId="8" fillId="9" borderId="0" applyNumberFormat="0" applyBorder="0" applyAlignment="0" applyProtection="0"/>
    <xf numFmtId="0" fontId="1" fillId="9"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20" fillId="14" borderId="1" applyNumberFormat="0" applyAlignment="0" applyProtection="0"/>
    <xf numFmtId="0" fontId="20" fillId="14" borderId="1" applyNumberFormat="0" applyAlignment="0" applyProtection="0"/>
    <xf numFmtId="0" fontId="20" fillId="14" borderId="1" applyNumberFormat="0" applyAlignment="0" applyProtection="0"/>
    <xf numFmtId="0" fontId="20" fillId="14" borderId="1" applyNumberFormat="0" applyAlignment="0" applyProtection="0"/>
    <xf numFmtId="0" fontId="10" fillId="14" borderId="2" applyNumberFormat="0" applyAlignment="0" applyProtection="0"/>
    <xf numFmtId="0" fontId="10" fillId="14" borderId="2" applyNumberFormat="0" applyAlignment="0" applyProtection="0"/>
    <xf numFmtId="0" fontId="10" fillId="14" borderId="2" applyNumberFormat="0" applyAlignment="0" applyProtection="0"/>
    <xf numFmtId="0" fontId="10" fillId="14" borderId="2" applyNumberFormat="0" applyAlignment="0" applyProtection="0"/>
    <xf numFmtId="0" fontId="17" fillId="9" borderId="2" applyNumberFormat="0" applyAlignment="0" applyProtection="0"/>
    <xf numFmtId="0" fontId="17" fillId="9" borderId="2" applyNumberFormat="0" applyAlignment="0" applyProtection="0"/>
    <xf numFmtId="0" fontId="17" fillId="9" borderId="2" applyNumberFormat="0" applyAlignment="0" applyProtection="0"/>
    <xf numFmtId="0" fontId="17" fillId="9" borderId="2" applyNumberFormat="0" applyAlignment="0" applyProtection="0"/>
    <xf numFmtId="0" fontId="1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3" fillId="7"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164" fontId="30" fillId="0" borderId="0" applyFont="0" applyFill="0" applyBorder="0" applyAlignment="0" applyProtection="0"/>
    <xf numFmtId="0" fontId="24" fillId="0" borderId="0" applyNumberFormat="0" applyFill="0" applyBorder="0" applyAlignment="0" applyProtection="0">
      <alignment vertical="top"/>
      <protection locked="0"/>
    </xf>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2" fillId="0" borderId="0"/>
    <xf numFmtId="0" fontId="30" fillId="0" borderId="0"/>
    <xf numFmtId="0" fontId="2" fillId="4" borderId="4" applyNumberFormat="0" applyFont="0" applyAlignment="0" applyProtection="0"/>
    <xf numFmtId="0" fontId="2" fillId="4" borderId="4" applyNumberFormat="0" applyFont="0" applyAlignment="0" applyProtection="0"/>
    <xf numFmtId="0" fontId="2" fillId="4" borderId="4" applyNumberFormat="0" applyFont="0" applyAlignment="0" applyProtection="0"/>
    <xf numFmtId="0" fontId="2" fillId="4" borderId="4" applyNumberFormat="0" applyFont="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21" fillId="0" borderId="0" applyNumberFormat="0" applyFill="0" applyBorder="0" applyAlignment="0" applyProtection="0"/>
    <xf numFmtId="0" fontId="2"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xf numFmtId="0" fontId="2" fillId="0" borderId="0"/>
    <xf numFmtId="0" fontId="2" fillId="0" borderId="0"/>
    <xf numFmtId="0" fontId="30" fillId="0" borderId="0"/>
    <xf numFmtId="0" fontId="2"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6" fillId="0" borderId="0"/>
    <xf numFmtId="0" fontId="2" fillId="0" borderId="0"/>
    <xf numFmtId="0" fontId="30" fillId="0" borderId="0"/>
    <xf numFmtId="0" fontId="27" fillId="0" borderId="0"/>
    <xf numFmtId="0" fontId="2" fillId="0" borderId="0"/>
    <xf numFmtId="0" fontId="28" fillId="0" borderId="0"/>
    <xf numFmtId="0" fontId="2" fillId="0" borderId="0"/>
    <xf numFmtId="0" fontId="29" fillId="0" borderId="0"/>
    <xf numFmtId="0" fontId="2" fillId="0" borderId="0"/>
    <xf numFmtId="0" fontId="2" fillId="0" borderId="0"/>
    <xf numFmtId="0" fontId="2"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xf numFmtId="0" fontId="2" fillId="0" borderId="0"/>
    <xf numFmtId="0" fontId="2" fillId="0" borderId="0"/>
    <xf numFmtId="0" fontId="2"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xf numFmtId="0" fontId="2" fillId="0" borderId="0"/>
    <xf numFmtId="0" fontId="2" fillId="0" borderId="0"/>
    <xf numFmtId="0" fontId="14" fillId="0" borderId="5" applyNumberFormat="0" applyFill="0" applyAlignment="0" applyProtection="0"/>
    <xf numFmtId="0" fontId="14" fillId="0" borderId="5" applyNumberFormat="0" applyFill="0" applyAlignment="0" applyProtection="0"/>
    <xf numFmtId="0" fontId="14" fillId="0" borderId="5" applyNumberFormat="0" applyFill="0" applyAlignment="0" applyProtection="0"/>
    <xf numFmtId="0" fontId="14" fillId="0" borderId="5"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7" applyNumberFormat="0" applyFill="0" applyAlignment="0" applyProtection="0"/>
    <xf numFmtId="0" fontId="16" fillId="0" borderId="7"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8" fillId="0" borderId="8" applyNumberFormat="0" applyFill="0" applyAlignment="0" applyProtection="0"/>
    <xf numFmtId="0" fontId="18" fillId="0" borderId="8" applyNumberFormat="0" applyFill="0" applyAlignment="0" applyProtection="0"/>
    <xf numFmtId="0" fontId="18" fillId="0" borderId="8" applyNumberFormat="0" applyFill="0" applyAlignment="0" applyProtection="0"/>
    <xf numFmtId="0" fontId="18"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11" fillId="6" borderId="9" applyNumberFormat="0" applyAlignment="0" applyProtection="0"/>
    <xf numFmtId="0" fontId="11" fillId="6" borderId="9" applyNumberFormat="0" applyAlignment="0" applyProtection="0"/>
    <xf numFmtId="0" fontId="11" fillId="6" borderId="9" applyNumberFormat="0" applyAlignment="0" applyProtection="0"/>
    <xf numFmtId="0" fontId="11" fillId="6" borderId="9" applyNumberFormat="0" applyAlignment="0" applyProtection="0"/>
  </cellStyleXfs>
  <cellXfs count="152">
    <xf numFmtId="0" fontId="0" fillId="0" borderId="0" xfId="0"/>
    <xf numFmtId="0" fontId="0" fillId="0" borderId="0" xfId="0" applyAlignment="1">
      <alignment vertical="top"/>
    </xf>
    <xf numFmtId="0" fontId="0" fillId="0" borderId="0" xfId="0" applyAlignment="1">
      <alignment vertical="top" wrapText="1"/>
    </xf>
    <xf numFmtId="0" fontId="5" fillId="0" borderId="0" xfId="87" applyFont="1" applyAlignment="1">
      <alignment vertical="top"/>
    </xf>
    <xf numFmtId="0" fontId="2" fillId="0" borderId="0" xfId="0" applyFont="1" applyAlignment="1">
      <alignment horizontal="center" vertical="top"/>
    </xf>
    <xf numFmtId="0" fontId="2" fillId="0" borderId="0" xfId="0" applyFont="1" applyAlignment="1">
      <alignment horizontal="left" vertical="top"/>
    </xf>
    <xf numFmtId="14" fontId="0" fillId="0" borderId="0" xfId="0" applyNumberFormat="1" applyAlignment="1">
      <alignment vertical="top"/>
    </xf>
    <xf numFmtId="0" fontId="2" fillId="0" borderId="0" xfId="0" applyFont="1" applyAlignment="1">
      <alignment vertical="top"/>
    </xf>
    <xf numFmtId="0" fontId="2" fillId="0" borderId="0" xfId="0" applyFont="1" applyAlignment="1">
      <alignment vertical="top" wrapText="1"/>
    </xf>
    <xf numFmtId="0" fontId="2" fillId="0" borderId="11" xfId="0" applyFont="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6" fillId="0" borderId="0" xfId="0" applyFont="1" applyAlignment="1">
      <alignment vertical="top"/>
    </xf>
    <xf numFmtId="0" fontId="0" fillId="0" borderId="0" xfId="0" quotePrefix="1" applyAlignment="1">
      <alignment horizontal="left" vertical="top" wrapText="1"/>
    </xf>
    <xf numFmtId="0" fontId="2" fillId="20" borderId="11" xfId="0" applyFont="1" applyFill="1" applyBorder="1" applyAlignment="1">
      <alignment horizontal="left" vertical="top"/>
    </xf>
    <xf numFmtId="0" fontId="2" fillId="20" borderId="0" xfId="0" applyFont="1" applyFill="1" applyAlignment="1">
      <alignment horizontal="left" vertical="top"/>
    </xf>
    <xf numFmtId="0" fontId="2" fillId="20" borderId="0" xfId="0" applyFont="1" applyFill="1" applyAlignment="1">
      <alignment horizontal="left" vertical="top" wrapText="1"/>
    </xf>
    <xf numFmtId="0" fontId="2" fillId="21" borderId="11" xfId="0" applyFont="1" applyFill="1" applyBorder="1" applyAlignment="1">
      <alignment horizontal="left" vertical="top"/>
    </xf>
    <xf numFmtId="0" fontId="2" fillId="21" borderId="0" xfId="0" applyFont="1" applyFill="1" applyAlignment="1">
      <alignment horizontal="left" vertical="top" wrapText="1"/>
    </xf>
    <xf numFmtId="0" fontId="2" fillId="21" borderId="0" xfId="0" applyFont="1" applyFill="1" applyAlignment="1">
      <alignment horizontal="left" vertical="top"/>
    </xf>
    <xf numFmtId="0" fontId="2" fillId="0" borderId="0" xfId="87" applyAlignment="1">
      <alignment vertical="top"/>
    </xf>
    <xf numFmtId="0" fontId="24" fillId="0" borderId="0" xfId="82" applyProtection="1">
      <alignment vertical="top"/>
    </xf>
    <xf numFmtId="0" fontId="2" fillId="0" borderId="0" xfId="87" applyAlignment="1">
      <alignment vertical="top" wrapText="1"/>
    </xf>
    <xf numFmtId="0" fontId="27" fillId="0" borderId="0" xfId="164" applyAlignment="1">
      <alignment vertical="top"/>
    </xf>
    <xf numFmtId="0" fontId="27" fillId="0" borderId="0" xfId="164" applyAlignment="1">
      <alignment vertical="top" wrapText="1"/>
    </xf>
    <xf numFmtId="0" fontId="2" fillId="0" borderId="0" xfId="164" applyFont="1" applyAlignment="1">
      <alignment horizontal="left" vertical="top"/>
    </xf>
    <xf numFmtId="0" fontId="2" fillId="0" borderId="0" xfId="164" applyFont="1" applyAlignment="1">
      <alignment vertical="top"/>
    </xf>
    <xf numFmtId="0" fontId="4" fillId="22" borderId="0" xfId="0" applyFont="1" applyFill="1" applyAlignment="1">
      <alignment vertical="top"/>
    </xf>
    <xf numFmtId="0" fontId="25" fillId="22" borderId="0" xfId="0" applyFont="1" applyFill="1" applyAlignment="1">
      <alignment vertical="top"/>
    </xf>
    <xf numFmtId="0" fontId="0" fillId="0" borderId="10" xfId="0" applyBorder="1" applyAlignment="1">
      <alignment vertical="top"/>
    </xf>
    <xf numFmtId="0" fontId="4" fillId="0" borderId="0" xfId="0" applyFont="1" applyAlignment="1">
      <alignment vertical="top"/>
    </xf>
    <xf numFmtId="0" fontId="24" fillId="0" borderId="0" xfId="82" applyAlignment="1" applyProtection="1">
      <alignment horizontal="left" vertical="top"/>
    </xf>
    <xf numFmtId="14" fontId="2" fillId="21" borderId="0" xfId="87" applyNumberFormat="1" applyFill="1" applyAlignment="1">
      <alignment horizontal="left" vertical="top" wrapText="1"/>
    </xf>
    <xf numFmtId="0" fontId="2" fillId="21" borderId="0" xfId="87" applyFill="1" applyAlignment="1">
      <alignment vertical="top" wrapText="1"/>
    </xf>
    <xf numFmtId="0" fontId="34" fillId="0" borderId="0" xfId="0" applyFont="1" applyAlignment="1">
      <alignment horizontal="left" vertical="top"/>
    </xf>
    <xf numFmtId="0" fontId="34" fillId="0" borderId="0" xfId="0" applyFont="1" applyAlignment="1">
      <alignment vertical="top"/>
    </xf>
    <xf numFmtId="0" fontId="0" fillId="23" borderId="10" xfId="0" applyFill="1" applyBorder="1" applyAlignment="1">
      <alignment vertical="top"/>
    </xf>
    <xf numFmtId="0" fontId="0" fillId="24" borderId="10" xfId="0" applyFill="1" applyBorder="1" applyAlignment="1">
      <alignment vertical="top"/>
    </xf>
    <xf numFmtId="0" fontId="0" fillId="27" borderId="10" xfId="0" applyFill="1" applyBorder="1" applyAlignment="1">
      <alignment vertical="top"/>
    </xf>
    <xf numFmtId="0" fontId="31" fillId="28" borderId="10" xfId="0" applyFont="1" applyFill="1" applyBorder="1" applyAlignment="1">
      <alignment vertical="top"/>
    </xf>
    <xf numFmtId="0" fontId="31" fillId="26" borderId="10" xfId="0" applyFont="1" applyFill="1" applyBorder="1" applyAlignment="1">
      <alignment vertical="top"/>
    </xf>
    <xf numFmtId="0" fontId="31" fillId="25" borderId="10" xfId="0" applyFont="1" applyFill="1" applyBorder="1" applyAlignment="1">
      <alignment vertical="top"/>
    </xf>
    <xf numFmtId="0" fontId="33" fillId="29" borderId="0" xfId="0" applyFont="1" applyFill="1" applyAlignment="1">
      <alignment horizontal="left" vertical="top" wrapText="1"/>
    </xf>
    <xf numFmtId="0" fontId="36" fillId="30" borderId="0" xfId="164" applyFont="1" applyFill="1" applyAlignment="1">
      <alignment horizontal="left" vertical="top"/>
    </xf>
    <xf numFmtId="0" fontId="36" fillId="30" borderId="0" xfId="164" applyFont="1" applyFill="1" applyAlignment="1">
      <alignment vertical="top"/>
    </xf>
    <xf numFmtId="0" fontId="36" fillId="30" borderId="0" xfId="164" applyFont="1" applyFill="1" applyAlignment="1">
      <alignment horizontal="center" vertical="top"/>
    </xf>
    <xf numFmtId="0" fontId="36" fillId="30" borderId="0" xfId="164" applyFont="1" applyFill="1" applyAlignment="1">
      <alignment horizontal="center" vertical="top" wrapText="1"/>
    </xf>
    <xf numFmtId="0" fontId="37" fillId="30" borderId="11" xfId="164" applyFont="1" applyFill="1" applyBorder="1" applyAlignment="1">
      <alignment horizontal="left" vertical="top"/>
    </xf>
    <xf numFmtId="0" fontId="37" fillId="30" borderId="0" xfId="164" applyFont="1" applyFill="1" applyAlignment="1">
      <alignment horizontal="left" vertical="top"/>
    </xf>
    <xf numFmtId="0" fontId="37" fillId="30" borderId="12" xfId="164" applyFont="1" applyFill="1" applyBorder="1" applyAlignment="1">
      <alignment horizontal="left" vertical="top" wrapText="1"/>
    </xf>
    <xf numFmtId="0" fontId="37" fillId="30" borderId="11" xfId="164" applyFont="1" applyFill="1" applyBorder="1" applyAlignment="1">
      <alignment horizontal="left" vertical="top" wrapText="1"/>
    </xf>
    <xf numFmtId="0" fontId="32" fillId="31" borderId="0" xfId="0" applyFont="1" applyFill="1" applyAlignment="1">
      <alignment horizontal="center" vertical="top"/>
    </xf>
    <xf numFmtId="0" fontId="32" fillId="31" borderId="0" xfId="0" applyFont="1" applyFill="1" applyAlignment="1">
      <alignment horizontal="center" vertical="top" wrapText="1"/>
    </xf>
    <xf numFmtId="0" fontId="33" fillId="31" borderId="0" xfId="0" applyFont="1" applyFill="1" applyAlignment="1">
      <alignment horizontal="left" vertical="top" wrapText="1"/>
    </xf>
    <xf numFmtId="0" fontId="33" fillId="31" borderId="11" xfId="0" applyFont="1" applyFill="1" applyBorder="1" applyAlignment="1">
      <alignment horizontal="left" vertical="top"/>
    </xf>
    <xf numFmtId="0" fontId="33" fillId="31" borderId="0" xfId="0" applyFont="1" applyFill="1" applyAlignment="1">
      <alignment horizontal="left" vertical="top"/>
    </xf>
    <xf numFmtId="0" fontId="33" fillId="31" borderId="12" xfId="0" applyFont="1" applyFill="1" applyBorder="1" applyAlignment="1">
      <alignment horizontal="left" vertical="top" wrapText="1"/>
    </xf>
    <xf numFmtId="0" fontId="33" fillId="31" borderId="11" xfId="0" applyFont="1" applyFill="1" applyBorder="1" applyAlignment="1">
      <alignment horizontal="left" vertical="top" wrapText="1"/>
    </xf>
    <xf numFmtId="0" fontId="32" fillId="31" borderId="0" xfId="0" applyFont="1" applyFill="1" applyAlignment="1">
      <alignment horizontal="left" vertical="top"/>
    </xf>
    <xf numFmtId="0" fontId="32" fillId="31" borderId="0" xfId="0" applyFont="1" applyFill="1" applyAlignment="1">
      <alignment vertical="top"/>
    </xf>
    <xf numFmtId="0" fontId="37" fillId="30" borderId="0" xfId="0" applyFont="1" applyFill="1" applyAlignment="1">
      <alignment horizontal="left" vertical="top" wrapText="1"/>
    </xf>
    <xf numFmtId="0" fontId="4" fillId="0" borderId="0" xfId="87" applyFont="1" applyAlignment="1">
      <alignment horizontal="right" vertical="top" wrapText="1"/>
    </xf>
    <xf numFmtId="0" fontId="38" fillId="0" borderId="0" xfId="87" applyFont="1" applyAlignment="1">
      <alignment horizontal="right" vertical="top" wrapText="1"/>
    </xf>
    <xf numFmtId="0" fontId="39" fillId="0" borderId="0" xfId="87" applyFont="1" applyAlignment="1">
      <alignment vertical="top" wrapText="1"/>
    </xf>
    <xf numFmtId="0" fontId="38" fillId="0" borderId="0" xfId="87" applyFont="1" applyAlignment="1">
      <alignment horizontal="right" vertical="top"/>
    </xf>
    <xf numFmtId="0" fontId="4" fillId="21" borderId="0" xfId="0" applyFont="1" applyFill="1" applyAlignment="1">
      <alignment vertical="top"/>
    </xf>
    <xf numFmtId="0" fontId="4" fillId="0" borderId="0" xfId="0" applyFont="1" applyAlignment="1">
      <alignment vertical="top" wrapText="1"/>
    </xf>
    <xf numFmtId="0" fontId="0" fillId="0" borderId="0" xfId="0" applyAlignment="1">
      <alignment wrapText="1"/>
    </xf>
    <xf numFmtId="0" fontId="5" fillId="0" borderId="0" xfId="87" applyFont="1" applyAlignment="1">
      <alignment horizontal="left" vertical="top"/>
    </xf>
    <xf numFmtId="0" fontId="24" fillId="0" borderId="0" xfId="82" applyAlignment="1" applyProtection="1"/>
    <xf numFmtId="0" fontId="0" fillId="32" borderId="10" xfId="0" applyFill="1" applyBorder="1" applyAlignment="1">
      <alignment vertical="top"/>
    </xf>
    <xf numFmtId="0" fontId="40" fillId="0" borderId="0" xfId="87" applyFont="1" applyAlignment="1">
      <alignment horizontal="right" vertical="top"/>
    </xf>
    <xf numFmtId="0" fontId="32" fillId="29" borderId="0" xfId="164" applyFont="1" applyFill="1" applyAlignment="1">
      <alignment horizontal="left" vertical="top"/>
    </xf>
    <xf numFmtId="0" fontId="32" fillId="29" borderId="0" xfId="164" applyFont="1" applyFill="1" applyAlignment="1">
      <alignment vertical="top"/>
    </xf>
    <xf numFmtId="0" fontId="32" fillId="29" borderId="0" xfId="164" applyFont="1" applyFill="1" applyAlignment="1">
      <alignment horizontal="center" vertical="top"/>
    </xf>
    <xf numFmtId="0" fontId="32" fillId="29" borderId="0" xfId="164" applyFont="1" applyFill="1" applyAlignment="1">
      <alignment horizontal="center" vertical="top" wrapText="1"/>
    </xf>
    <xf numFmtId="0" fontId="33" fillId="29" borderId="11" xfId="164" applyFont="1" applyFill="1" applyBorder="1" applyAlignment="1">
      <alignment horizontal="left" vertical="top"/>
    </xf>
    <xf numFmtId="0" fontId="33" fillId="29" borderId="0" xfId="164" applyFont="1" applyFill="1" applyAlignment="1">
      <alignment horizontal="left" vertical="top"/>
    </xf>
    <xf numFmtId="0" fontId="33" fillId="29" borderId="12" xfId="164" applyFont="1" applyFill="1" applyBorder="1" applyAlignment="1">
      <alignment horizontal="left" vertical="top" wrapText="1"/>
    </xf>
    <xf numFmtId="0" fontId="33" fillId="29" borderId="11" xfId="164" applyFont="1" applyFill="1" applyBorder="1" applyAlignment="1">
      <alignment horizontal="left" vertical="top" wrapText="1"/>
    </xf>
    <xf numFmtId="0" fontId="2" fillId="0" borderId="0" xfId="0" applyFont="1"/>
    <xf numFmtId="0" fontId="31" fillId="33" borderId="10" xfId="0" applyFont="1" applyFill="1" applyBorder="1" applyAlignment="1">
      <alignment vertical="top"/>
    </xf>
    <xf numFmtId="0" fontId="36" fillId="34" borderId="0" xfId="164" applyFont="1" applyFill="1" applyAlignment="1">
      <alignment horizontal="left" vertical="top"/>
    </xf>
    <xf numFmtId="0" fontId="36" fillId="34" borderId="0" xfId="164" applyFont="1" applyFill="1" applyAlignment="1">
      <alignment vertical="top"/>
    </xf>
    <xf numFmtId="0" fontId="36" fillId="34" borderId="0" xfId="164" applyFont="1" applyFill="1" applyAlignment="1">
      <alignment horizontal="center" vertical="top"/>
    </xf>
    <xf numFmtId="0" fontId="36" fillId="34" borderId="0" xfId="164" applyFont="1" applyFill="1" applyAlignment="1">
      <alignment horizontal="center" vertical="top" wrapText="1"/>
    </xf>
    <xf numFmtId="0" fontId="37" fillId="34" borderId="0" xfId="0" applyFont="1" applyFill="1" applyAlignment="1">
      <alignment horizontal="left" vertical="top" wrapText="1"/>
    </xf>
    <xf numFmtId="0" fontId="37" fillId="34" borderId="11" xfId="164" applyFont="1" applyFill="1" applyBorder="1" applyAlignment="1">
      <alignment horizontal="left" vertical="top"/>
    </xf>
    <xf numFmtId="0" fontId="37" fillId="34" borderId="0" xfId="164" applyFont="1" applyFill="1" applyAlignment="1">
      <alignment horizontal="left" vertical="top"/>
    </xf>
    <xf numFmtId="0" fontId="37" fillId="34" borderId="12" xfId="164" applyFont="1" applyFill="1" applyBorder="1" applyAlignment="1">
      <alignment horizontal="left" vertical="top" wrapText="1"/>
    </xf>
    <xf numFmtId="0" fontId="37" fillId="34" borderId="11" xfId="164" applyFont="1" applyFill="1" applyBorder="1" applyAlignment="1">
      <alignment horizontal="left" vertical="top" wrapText="1"/>
    </xf>
    <xf numFmtId="0" fontId="2" fillId="0" borderId="0" xfId="0" quotePrefix="1" applyFont="1" applyAlignment="1">
      <alignment horizontal="left" vertical="top" wrapText="1"/>
    </xf>
    <xf numFmtId="0" fontId="2" fillId="0" borderId="0" xfId="0" applyFont="1" applyAlignment="1">
      <alignment horizontal="left" vertical="top" wrapText="1"/>
    </xf>
    <xf numFmtId="0" fontId="36" fillId="35" borderId="0" xfId="164" applyFont="1" applyFill="1" applyAlignment="1">
      <alignment horizontal="left" vertical="top"/>
    </xf>
    <xf numFmtId="0" fontId="36" fillId="35" borderId="0" xfId="164" applyFont="1" applyFill="1" applyAlignment="1">
      <alignment vertical="top"/>
    </xf>
    <xf numFmtId="0" fontId="36" fillId="35" borderId="0" xfId="164" applyFont="1" applyFill="1" applyAlignment="1">
      <alignment horizontal="center" vertical="top"/>
    </xf>
    <xf numFmtId="0" fontId="36" fillId="35" borderId="0" xfId="164" applyFont="1" applyFill="1" applyAlignment="1">
      <alignment horizontal="center" vertical="top" wrapText="1"/>
    </xf>
    <xf numFmtId="0" fontId="37" fillId="35" borderId="0" xfId="0" applyFont="1" applyFill="1" applyAlignment="1">
      <alignment horizontal="left" vertical="top" wrapText="1"/>
    </xf>
    <xf numFmtId="0" fontId="37" fillId="35" borderId="11" xfId="164" applyFont="1" applyFill="1" applyBorder="1" applyAlignment="1">
      <alignment horizontal="left" vertical="top"/>
    </xf>
    <xf numFmtId="0" fontId="37" fillId="35" borderId="0" xfId="164" applyFont="1" applyFill="1" applyAlignment="1">
      <alignment horizontal="left" vertical="top"/>
    </xf>
    <xf numFmtId="0" fontId="37" fillId="35" borderId="12" xfId="164" applyFont="1" applyFill="1" applyBorder="1" applyAlignment="1">
      <alignment horizontal="left" vertical="top" wrapText="1"/>
    </xf>
    <xf numFmtId="0" fontId="37" fillId="35" borderId="11" xfId="164" applyFont="1" applyFill="1" applyBorder="1" applyAlignment="1">
      <alignment horizontal="left" vertical="top" wrapText="1"/>
    </xf>
    <xf numFmtId="0" fontId="32" fillId="36" borderId="0" xfId="164" applyFont="1" applyFill="1" applyAlignment="1">
      <alignment horizontal="left" vertical="top"/>
    </xf>
    <xf numFmtId="0" fontId="32" fillId="36" borderId="0" xfId="164" applyFont="1" applyFill="1" applyAlignment="1">
      <alignment vertical="top"/>
    </xf>
    <xf numFmtId="0" fontId="32" fillId="36" borderId="0" xfId="164" applyFont="1" applyFill="1" applyAlignment="1">
      <alignment horizontal="center" vertical="top"/>
    </xf>
    <xf numFmtId="0" fontId="32" fillId="36" borderId="0" xfId="164" applyFont="1" applyFill="1" applyAlignment="1">
      <alignment horizontal="center" vertical="top" wrapText="1"/>
    </xf>
    <xf numFmtId="0" fontId="33" fillId="36" borderId="0" xfId="0" applyFont="1" applyFill="1" applyAlignment="1">
      <alignment horizontal="left" vertical="top" wrapText="1"/>
    </xf>
    <xf numFmtId="0" fontId="33" fillId="36" borderId="11" xfId="164" applyFont="1" applyFill="1" applyBorder="1" applyAlignment="1">
      <alignment horizontal="left" vertical="top"/>
    </xf>
    <xf numFmtId="0" fontId="33" fillId="36" borderId="0" xfId="164" applyFont="1" applyFill="1" applyAlignment="1">
      <alignment horizontal="left" vertical="top"/>
    </xf>
    <xf numFmtId="0" fontId="33" fillId="36" borderId="12" xfId="164" applyFont="1" applyFill="1" applyBorder="1" applyAlignment="1">
      <alignment horizontal="left" vertical="top" wrapText="1"/>
    </xf>
    <xf numFmtId="0" fontId="33" fillId="36" borderId="11" xfId="164" applyFont="1" applyFill="1" applyBorder="1" applyAlignment="1">
      <alignment horizontal="left" vertical="top" wrapText="1"/>
    </xf>
    <xf numFmtId="0" fontId="0" fillId="0" borderId="0" xfId="0" quotePrefix="1" applyAlignment="1">
      <alignment vertical="top"/>
    </xf>
    <xf numFmtId="0" fontId="2" fillId="0" borderId="0" xfId="0" quotePrefix="1" applyFont="1" applyAlignment="1">
      <alignment vertical="top"/>
    </xf>
    <xf numFmtId="0" fontId="2" fillId="20" borderId="0" xfId="0" applyFont="1" applyFill="1" applyAlignment="1">
      <alignment horizontal="left" vertical="center"/>
    </xf>
    <xf numFmtId="0" fontId="5" fillId="0" borderId="0" xfId="87" applyFont="1" applyAlignment="1">
      <alignment horizontal="left" vertical="top"/>
    </xf>
    <xf numFmtId="0" fontId="2" fillId="0" borderId="0" xfId="0" applyFont="1" applyAlignment="1">
      <alignment horizontal="left" vertical="top" wrapText="1"/>
    </xf>
    <xf numFmtId="0" fontId="33" fillId="29" borderId="11" xfId="164" applyFont="1" applyFill="1" applyBorder="1" applyAlignment="1">
      <alignment horizontal="center" vertical="top"/>
    </xf>
    <xf numFmtId="0" fontId="33" fillId="29" borderId="0" xfId="164" applyFont="1" applyFill="1" applyAlignment="1">
      <alignment horizontal="center" vertical="top"/>
    </xf>
    <xf numFmtId="0" fontId="33" fillId="29" borderId="12" xfId="164" applyFont="1" applyFill="1" applyBorder="1" applyAlignment="1">
      <alignment horizontal="center" vertical="top"/>
    </xf>
    <xf numFmtId="0" fontId="33" fillId="29" borderId="11" xfId="164" applyFont="1" applyFill="1" applyBorder="1" applyAlignment="1">
      <alignment horizontal="center" vertical="top" wrapText="1"/>
    </xf>
    <xf numFmtId="0" fontId="33" fillId="29" borderId="0" xfId="164" applyFont="1" applyFill="1" applyAlignment="1">
      <alignment horizontal="center" vertical="top" wrapText="1"/>
    </xf>
    <xf numFmtId="0" fontId="33" fillId="29" borderId="12" xfId="164" applyFont="1" applyFill="1" applyBorder="1" applyAlignment="1">
      <alignment horizontal="center" vertical="top" wrapText="1"/>
    </xf>
    <xf numFmtId="0" fontId="37" fillId="35" borderId="11" xfId="164" applyFont="1" applyFill="1" applyBorder="1" applyAlignment="1">
      <alignment horizontal="center" vertical="top"/>
    </xf>
    <xf numFmtId="0" fontId="37" fillId="35" borderId="0" xfId="164" applyFont="1" applyFill="1" applyAlignment="1">
      <alignment horizontal="center" vertical="top"/>
    </xf>
    <xf numFmtId="0" fontId="37" fillId="35" borderId="12" xfId="164" applyFont="1" applyFill="1" applyBorder="1" applyAlignment="1">
      <alignment horizontal="center" vertical="top"/>
    </xf>
    <xf numFmtId="0" fontId="37" fillId="35" borderId="11" xfId="164" applyFont="1" applyFill="1" applyBorder="1" applyAlignment="1">
      <alignment horizontal="center" vertical="top" wrapText="1"/>
    </xf>
    <xf numFmtId="0" fontId="37" fillId="35" borderId="0" xfId="164" applyFont="1" applyFill="1" applyAlignment="1">
      <alignment horizontal="center" vertical="top" wrapText="1"/>
    </xf>
    <xf numFmtId="0" fontId="37" fillId="35" borderId="12" xfId="164" applyFont="1" applyFill="1" applyBorder="1" applyAlignment="1">
      <alignment horizontal="center" vertical="top" wrapText="1"/>
    </xf>
    <xf numFmtId="0" fontId="33" fillId="36" borderId="11" xfId="164" applyFont="1" applyFill="1" applyBorder="1" applyAlignment="1">
      <alignment horizontal="center" vertical="top"/>
    </xf>
    <xf numFmtId="0" fontId="33" fillId="36" borderId="0" xfId="164" applyFont="1" applyFill="1" applyAlignment="1">
      <alignment horizontal="center" vertical="top"/>
    </xf>
    <xf numFmtId="0" fontId="33" fillId="36" borderId="12" xfId="164" applyFont="1" applyFill="1" applyBorder="1" applyAlignment="1">
      <alignment horizontal="center" vertical="top"/>
    </xf>
    <xf numFmtId="0" fontId="33" fillId="36" borderId="11" xfId="164" applyFont="1" applyFill="1" applyBorder="1" applyAlignment="1">
      <alignment horizontal="center" vertical="top" wrapText="1"/>
    </xf>
    <xf numFmtId="0" fontId="33" fillId="36" borderId="0" xfId="164" applyFont="1" applyFill="1" applyAlignment="1">
      <alignment horizontal="center" vertical="top" wrapText="1"/>
    </xf>
    <xf numFmtId="0" fontId="33" fillId="36" borderId="12" xfId="164" applyFont="1" applyFill="1" applyBorder="1" applyAlignment="1">
      <alignment horizontal="center" vertical="top" wrapText="1"/>
    </xf>
    <xf numFmtId="0" fontId="37" fillId="34" borderId="11" xfId="164" applyFont="1" applyFill="1" applyBorder="1" applyAlignment="1">
      <alignment horizontal="center" vertical="top"/>
    </xf>
    <xf numFmtId="0" fontId="37" fillId="34" borderId="0" xfId="164" applyFont="1" applyFill="1" applyAlignment="1">
      <alignment horizontal="center" vertical="top"/>
    </xf>
    <xf numFmtId="0" fontId="37" fillId="34" borderId="12" xfId="164" applyFont="1" applyFill="1" applyBorder="1" applyAlignment="1">
      <alignment horizontal="center" vertical="top"/>
    </xf>
    <xf numFmtId="0" fontId="37" fillId="34" borderId="11" xfId="164" applyFont="1" applyFill="1" applyBorder="1" applyAlignment="1">
      <alignment horizontal="center" vertical="top" wrapText="1"/>
    </xf>
    <xf numFmtId="0" fontId="37" fillId="34" borderId="0" xfId="164" applyFont="1" applyFill="1" applyAlignment="1">
      <alignment horizontal="center" vertical="top" wrapText="1"/>
    </xf>
    <xf numFmtId="0" fontId="37" fillId="34" borderId="12" xfId="164" applyFont="1" applyFill="1" applyBorder="1" applyAlignment="1">
      <alignment horizontal="center" vertical="top" wrapText="1"/>
    </xf>
    <xf numFmtId="0" fontId="37" fillId="30" borderId="11" xfId="164" applyFont="1" applyFill="1" applyBorder="1" applyAlignment="1">
      <alignment horizontal="center" vertical="top"/>
    </xf>
    <xf numFmtId="0" fontId="37" fillId="30" borderId="0" xfId="164" applyFont="1" applyFill="1" applyAlignment="1">
      <alignment horizontal="center" vertical="top"/>
    </xf>
    <xf numFmtId="0" fontId="37" fillId="30" borderId="12" xfId="164" applyFont="1" applyFill="1" applyBorder="1" applyAlignment="1">
      <alignment horizontal="center" vertical="top"/>
    </xf>
    <xf numFmtId="0" fontId="37" fillId="30" borderId="11" xfId="164" applyFont="1" applyFill="1" applyBorder="1" applyAlignment="1">
      <alignment horizontal="center" vertical="top" wrapText="1"/>
    </xf>
    <xf numFmtId="0" fontId="37" fillId="30" borderId="0" xfId="164" applyFont="1" applyFill="1" applyAlignment="1">
      <alignment horizontal="center" vertical="top" wrapText="1"/>
    </xf>
    <xf numFmtId="0" fontId="37" fillId="30" borderId="12" xfId="164" applyFont="1" applyFill="1" applyBorder="1" applyAlignment="1">
      <alignment horizontal="center" vertical="top" wrapText="1"/>
    </xf>
    <xf numFmtId="0" fontId="33" fillId="31" borderId="11" xfId="0" applyFont="1" applyFill="1" applyBorder="1" applyAlignment="1">
      <alignment horizontal="center" vertical="top"/>
    </xf>
    <xf numFmtId="0" fontId="33" fillId="31" borderId="0" xfId="0" applyFont="1" applyFill="1" applyAlignment="1">
      <alignment horizontal="center" vertical="top"/>
    </xf>
    <xf numFmtId="0" fontId="33" fillId="31" borderId="12" xfId="0" applyFont="1" applyFill="1" applyBorder="1" applyAlignment="1">
      <alignment horizontal="center" vertical="top"/>
    </xf>
    <xf numFmtId="0" fontId="33" fillId="31" borderId="11" xfId="0" applyFont="1" applyFill="1" applyBorder="1" applyAlignment="1">
      <alignment horizontal="center" vertical="top" wrapText="1"/>
    </xf>
    <xf numFmtId="0" fontId="33" fillId="31" borderId="0" xfId="0" applyFont="1" applyFill="1" applyAlignment="1">
      <alignment horizontal="center" vertical="top" wrapText="1"/>
    </xf>
    <xf numFmtId="0" fontId="33" fillId="31" borderId="12" xfId="0" applyFont="1" applyFill="1" applyBorder="1" applyAlignment="1">
      <alignment horizontal="center" vertical="top" wrapText="1"/>
    </xf>
  </cellXfs>
  <cellStyles count="342">
    <cellStyle name="Accent1 - 20%" xfId="1"/>
    <cellStyle name="Accent1 - 20% 2" xfId="2"/>
    <cellStyle name="Accent1 - 40%" xfId="3"/>
    <cellStyle name="Accent1 - 40% 2" xfId="4"/>
    <cellStyle name="Accent1 - 60%" xfId="5"/>
    <cellStyle name="Accent2 - 20%" xfId="6"/>
    <cellStyle name="Accent2 - 20% 2" xfId="7"/>
    <cellStyle name="Accent2 - 40%" xfId="8"/>
    <cellStyle name="Accent2 - 40% 2" xfId="9"/>
    <cellStyle name="Accent2 - 60%" xfId="10"/>
    <cellStyle name="Accent3 - 20%" xfId="11"/>
    <cellStyle name="Accent3 - 20% 2" xfId="12"/>
    <cellStyle name="Accent3 - 40%" xfId="13"/>
    <cellStyle name="Accent3 - 40% 2" xfId="14"/>
    <cellStyle name="Accent3 - 60%" xfId="15"/>
    <cellStyle name="Accent4 - 20%" xfId="16"/>
    <cellStyle name="Accent4 - 20% 2" xfId="17"/>
    <cellStyle name="Accent4 - 40%" xfId="18"/>
    <cellStyle name="Accent4 - 40% 2" xfId="19"/>
    <cellStyle name="Accent4 - 60%" xfId="20"/>
    <cellStyle name="Accent5 - 20%" xfId="21"/>
    <cellStyle name="Accent5 - 20% 2" xfId="22"/>
    <cellStyle name="Accent5 - 40%" xfId="23"/>
    <cellStyle name="Accent5 - 40% 2" xfId="24"/>
    <cellStyle name="Accent5 - 60%" xfId="25"/>
    <cellStyle name="Accent6 - 20%" xfId="26"/>
    <cellStyle name="Accent6 - 20% 2" xfId="27"/>
    <cellStyle name="Accent6 - 40%" xfId="28"/>
    <cellStyle name="Accent6 - 40% 2" xfId="29"/>
    <cellStyle name="Accent6 - 60%" xfId="30"/>
    <cellStyle name="Akzent1" xfId="31" builtinId="29" customBuiltin="1"/>
    <cellStyle name="Akzent1 2" xfId="32"/>
    <cellStyle name="Akzent1 3" xfId="33"/>
    <cellStyle name="Akzent1 4" xfId="34"/>
    <cellStyle name="Akzent2" xfId="35" builtinId="33" customBuiltin="1"/>
    <cellStyle name="Akzent2 2" xfId="36"/>
    <cellStyle name="Akzent2 3" xfId="37"/>
    <cellStyle name="Akzent2 4" xfId="38"/>
    <cellStyle name="Akzent3" xfId="39" builtinId="37" customBuiltin="1"/>
    <cellStyle name="Akzent3 2" xfId="40"/>
    <cellStyle name="Akzent3 3" xfId="41"/>
    <cellStyle name="Akzent3 4" xfId="42"/>
    <cellStyle name="Akzent4" xfId="43" builtinId="41" customBuiltin="1"/>
    <cellStyle name="Akzent4 2" xfId="44"/>
    <cellStyle name="Akzent4 3" xfId="45"/>
    <cellStyle name="Akzent4 4" xfId="46"/>
    <cellStyle name="Akzent5" xfId="47" builtinId="45" customBuiltin="1"/>
    <cellStyle name="Akzent5 2" xfId="48"/>
    <cellStyle name="Akzent5 3" xfId="49"/>
    <cellStyle name="Akzent5 4" xfId="50"/>
    <cellStyle name="Akzent6" xfId="51" builtinId="49" customBuiltin="1"/>
    <cellStyle name="Akzent6 2" xfId="52"/>
    <cellStyle name="Akzent6 3" xfId="53"/>
    <cellStyle name="Akzent6 4" xfId="54"/>
    <cellStyle name="Ausgabe" xfId="55" builtinId="21" customBuiltin="1"/>
    <cellStyle name="Ausgabe 2" xfId="56"/>
    <cellStyle name="Ausgabe 3" xfId="57"/>
    <cellStyle name="Ausgabe 4" xfId="58"/>
    <cellStyle name="Berechnung" xfId="59" builtinId="22" customBuiltin="1"/>
    <cellStyle name="Berechnung 2" xfId="60"/>
    <cellStyle name="Berechnung 3" xfId="61"/>
    <cellStyle name="Berechnung 4" xfId="62"/>
    <cellStyle name="Eingabe" xfId="63" builtinId="20" customBuiltin="1"/>
    <cellStyle name="Eingabe 2" xfId="64"/>
    <cellStyle name="Eingabe 3" xfId="65"/>
    <cellStyle name="Eingabe 4" xfId="66"/>
    <cellStyle name="Emphasis 1" xfId="67"/>
    <cellStyle name="Emphasis 2" xfId="68"/>
    <cellStyle name="Emphasis 3" xfId="69"/>
    <cellStyle name="Ergebnis" xfId="70" builtinId="25" customBuiltin="1"/>
    <cellStyle name="Ergebnis 2" xfId="71"/>
    <cellStyle name="Ergebnis 3" xfId="72"/>
    <cellStyle name="Ergebnis 4" xfId="73"/>
    <cellStyle name="Gut" xfId="74" builtinId="26" customBuiltin="1"/>
    <cellStyle name="Gut 2" xfId="75"/>
    <cellStyle name="Gut 3" xfId="76"/>
    <cellStyle name="Gut 4" xfId="77"/>
    <cellStyle name="Komma 2" xfId="78"/>
    <cellStyle name="Komma 2 2" xfId="79"/>
    <cellStyle name="Komma 2 2 2" xfId="80"/>
    <cellStyle name="Komma 2 3" xfId="81"/>
    <cellStyle name="Link" xfId="82" builtinId="8"/>
    <cellStyle name="Neutral" xfId="83" builtinId="28" customBuiltin="1"/>
    <cellStyle name="Neutral 2" xfId="84"/>
    <cellStyle name="Neutral 3" xfId="85"/>
    <cellStyle name="Neutral 4" xfId="86"/>
    <cellStyle name="Normal 2" xfId="87"/>
    <cellStyle name="Normal 3" xfId="88"/>
    <cellStyle name="Notiz" xfId="89" builtinId="10" customBuiltin="1"/>
    <cellStyle name="Notiz 2" xfId="90"/>
    <cellStyle name="Notiz 3" xfId="91"/>
    <cellStyle name="Notiz 4" xfId="92"/>
    <cellStyle name="Schlecht" xfId="93" builtinId="27" customBuiltin="1"/>
    <cellStyle name="Schlecht 2" xfId="94"/>
    <cellStyle name="Schlecht 3" xfId="95"/>
    <cellStyle name="Schlecht 4" xfId="96"/>
    <cellStyle name="Sheet Title" xfId="97"/>
    <cellStyle name="Standard" xfId="0" builtinId="0"/>
    <cellStyle name="Standard 10" xfId="98"/>
    <cellStyle name="Standard 11" xfId="99"/>
    <cellStyle name="Standard 11 2" xfId="100"/>
    <cellStyle name="Standard 11 2 2" xfId="101"/>
    <cellStyle name="Standard 11 2 2 2" xfId="102"/>
    <cellStyle name="Standard 11 2 2 3" xfId="103"/>
    <cellStyle name="Standard 11 2 3" xfId="104"/>
    <cellStyle name="Standard 11 2 3 2" xfId="105"/>
    <cellStyle name="Standard 11 2 3 3" xfId="106"/>
    <cellStyle name="Standard 11 2 4" xfId="107"/>
    <cellStyle name="Standard 11 2 4 2" xfId="108"/>
    <cellStyle name="Standard 11 2 4 3" xfId="109"/>
    <cellStyle name="Standard 11 2 5" xfId="110"/>
    <cellStyle name="Standard 11 2 5 2" xfId="111"/>
    <cellStyle name="Standard 11 2 5 3" xfId="112"/>
    <cellStyle name="Standard 11 2 6" xfId="113"/>
    <cellStyle name="Standard 11 2 7" xfId="114"/>
    <cellStyle name="Standard 11 3" xfId="115"/>
    <cellStyle name="Standard 11 3 2" xfId="116"/>
    <cellStyle name="Standard 11 3 2 2" xfId="117"/>
    <cellStyle name="Standard 11 3 2 3" xfId="118"/>
    <cellStyle name="Standard 11 3 3" xfId="119"/>
    <cellStyle name="Standard 11 3 3 2" xfId="120"/>
    <cellStyle name="Standard 11 3 3 3" xfId="121"/>
    <cellStyle name="Standard 11 3 4" xfId="122"/>
    <cellStyle name="Standard 11 3 4 2" xfId="123"/>
    <cellStyle name="Standard 11 3 4 3" xfId="124"/>
    <cellStyle name="Standard 11 3 5" xfId="125"/>
    <cellStyle name="Standard 11 3 5 2" xfId="126"/>
    <cellStyle name="Standard 11 3 5 3" xfId="127"/>
    <cellStyle name="Standard 11 3 6" xfId="128"/>
    <cellStyle name="Standard 11 3 7" xfId="129"/>
    <cellStyle name="Standard 11 4" xfId="130"/>
    <cellStyle name="Standard 11 4 2" xfId="131"/>
    <cellStyle name="Standard 11 4 3" xfId="132"/>
    <cellStyle name="Standard 11 5" xfId="133"/>
    <cellStyle name="Standard 11 5 2" xfId="134"/>
    <cellStyle name="Standard 11 5 3" xfId="135"/>
    <cellStyle name="Standard 11 6" xfId="136"/>
    <cellStyle name="Standard 11 6 2" xfId="137"/>
    <cellStyle name="Standard 11 6 3" xfId="138"/>
    <cellStyle name="Standard 11 7" xfId="139"/>
    <cellStyle name="Standard 11 7 2" xfId="140"/>
    <cellStyle name="Standard 11 7 3" xfId="141"/>
    <cellStyle name="Standard 11 8" xfId="142"/>
    <cellStyle name="Standard 11 9" xfId="143"/>
    <cellStyle name="Standard 12" xfId="144"/>
    <cellStyle name="Standard 12 2" xfId="145"/>
    <cellStyle name="Standard 12 3" xfId="146"/>
    <cellStyle name="Standard 13" xfId="147"/>
    <cellStyle name="Standard 13 2" xfId="148"/>
    <cellStyle name="Standard 13 3" xfId="149"/>
    <cellStyle name="Standard 13 3 2" xfId="150"/>
    <cellStyle name="Standard 13 3 2 2" xfId="151"/>
    <cellStyle name="Standard 13 3 2 3" xfId="152"/>
    <cellStyle name="Standard 13 3 3" xfId="153"/>
    <cellStyle name="Standard 13 3 3 2" xfId="154"/>
    <cellStyle name="Standard 13 3 3 3" xfId="155"/>
    <cellStyle name="Standard 13 3 4" xfId="156"/>
    <cellStyle name="Standard 13 3 4 2" xfId="157"/>
    <cellStyle name="Standard 13 3 4 3" xfId="158"/>
    <cellStyle name="Standard 13 3 5" xfId="159"/>
    <cellStyle name="Standard 13 3 6" xfId="160"/>
    <cellStyle name="Standard 14" xfId="161"/>
    <cellStyle name="Standard 14 2" xfId="162"/>
    <cellStyle name="Standard 15" xfId="163"/>
    <cellStyle name="Standard 16" xfId="164"/>
    <cellStyle name="Standard 16 2" xfId="165"/>
    <cellStyle name="Standard 17" xfId="166"/>
    <cellStyle name="Standard 17 2" xfId="167"/>
    <cellStyle name="Standard 18" xfId="168"/>
    <cellStyle name="Standard 2" xfId="169"/>
    <cellStyle name="Standard 2 2" xfId="170"/>
    <cellStyle name="Standard 2_graufische Darstellung" xfId="171"/>
    <cellStyle name="Standard 3" xfId="172"/>
    <cellStyle name="Standard 3 2" xfId="173"/>
    <cellStyle name="Standard 3 2 2" xfId="174"/>
    <cellStyle name="Standard 3 2 2 2" xfId="175"/>
    <cellStyle name="Standard 3 2 2 3" xfId="176"/>
    <cellStyle name="Standard 3 2 3" xfId="177"/>
    <cellStyle name="Standard 3 2 3 2" xfId="178"/>
    <cellStyle name="Standard 3 2 3 3" xfId="179"/>
    <cellStyle name="Standard 3 2 4" xfId="180"/>
    <cellStyle name="Standard 3 2 4 2" xfId="181"/>
    <cellStyle name="Standard 3 2 4 3" xfId="182"/>
    <cellStyle name="Standard 3 2 5" xfId="183"/>
    <cellStyle name="Standard 3 2 5 2" xfId="184"/>
    <cellStyle name="Standard 3 2 5 3" xfId="185"/>
    <cellStyle name="Standard 3 2 6" xfId="186"/>
    <cellStyle name="Standard 3 2 7" xfId="187"/>
    <cellStyle name="Standard 3 3" xfId="188"/>
    <cellStyle name="Standard 3 3 2" xfId="189"/>
    <cellStyle name="Standard 3 3 2 2" xfId="190"/>
    <cellStyle name="Standard 3 3 2 3" xfId="191"/>
    <cellStyle name="Standard 3 3 3" xfId="192"/>
    <cellStyle name="Standard 3 3 3 2" xfId="193"/>
    <cellStyle name="Standard 3 3 3 3" xfId="194"/>
    <cellStyle name="Standard 3 3 4" xfId="195"/>
    <cellStyle name="Standard 3 3 4 2" xfId="196"/>
    <cellStyle name="Standard 3 3 4 3" xfId="197"/>
    <cellStyle name="Standard 3 3 5" xfId="198"/>
    <cellStyle name="Standard 3 3 5 2" xfId="199"/>
    <cellStyle name="Standard 3 3 5 3" xfId="200"/>
    <cellStyle name="Standard 3 3 6" xfId="201"/>
    <cellStyle name="Standard 3 3 7" xfId="202"/>
    <cellStyle name="Standard 3 4" xfId="203"/>
    <cellStyle name="Standard 3 4 2" xfId="204"/>
    <cellStyle name="Standard 3 4 3" xfId="205"/>
    <cellStyle name="Standard 3 5" xfId="206"/>
    <cellStyle name="Standard 3 5 2" xfId="207"/>
    <cellStyle name="Standard 3 5 3" xfId="208"/>
    <cellStyle name="Standard 3 6" xfId="209"/>
    <cellStyle name="Standard 3 6 2" xfId="210"/>
    <cellStyle name="Standard 3 6 3" xfId="211"/>
    <cellStyle name="Standard 3 7" xfId="212"/>
    <cellStyle name="Standard 3 7 2" xfId="213"/>
    <cellStyle name="Standard 3 7 3" xfId="214"/>
    <cellStyle name="Standard 3 8" xfId="215"/>
    <cellStyle name="Standard 3 9" xfId="216"/>
    <cellStyle name="Standard 4" xfId="217"/>
    <cellStyle name="Standard 4 2" xfId="218"/>
    <cellStyle name="Standard 4 2 2" xfId="219"/>
    <cellStyle name="Standard 4 2 3" xfId="220"/>
    <cellStyle name="Standard 5" xfId="221"/>
    <cellStyle name="Standard 5 2" xfId="222"/>
    <cellStyle name="Standard 5 2 2" xfId="223"/>
    <cellStyle name="Standard 5 2 2 2" xfId="224"/>
    <cellStyle name="Standard 5 2 2 3" xfId="225"/>
    <cellStyle name="Standard 5 2 3" xfId="226"/>
    <cellStyle name="Standard 5 2 3 2" xfId="227"/>
    <cellStyle name="Standard 5 2 3 3" xfId="228"/>
    <cellStyle name="Standard 5 2 4" xfId="229"/>
    <cellStyle name="Standard 5 2 4 2" xfId="230"/>
    <cellStyle name="Standard 5 2 4 3" xfId="231"/>
    <cellStyle name="Standard 5 2 5" xfId="232"/>
    <cellStyle name="Standard 5 2 5 2" xfId="233"/>
    <cellStyle name="Standard 5 2 5 3" xfId="234"/>
    <cellStyle name="Standard 5 2 6" xfId="235"/>
    <cellStyle name="Standard 5 2 7" xfId="236"/>
    <cellStyle name="Standard 5 3" xfId="237"/>
    <cellStyle name="Standard 5 3 2" xfId="238"/>
    <cellStyle name="Standard 5 3 2 2" xfId="239"/>
    <cellStyle name="Standard 5 3 2 3" xfId="240"/>
    <cellStyle name="Standard 5 3 3" xfId="241"/>
    <cellStyle name="Standard 5 3 3 2" xfId="242"/>
    <cellStyle name="Standard 5 3 3 3" xfId="243"/>
    <cellStyle name="Standard 5 3 4" xfId="244"/>
    <cellStyle name="Standard 5 3 4 2" xfId="245"/>
    <cellStyle name="Standard 5 3 4 3" xfId="246"/>
    <cellStyle name="Standard 5 3 5" xfId="247"/>
    <cellStyle name="Standard 5 3 5 2" xfId="248"/>
    <cellStyle name="Standard 5 3 5 3" xfId="249"/>
    <cellStyle name="Standard 5 3 6" xfId="250"/>
    <cellStyle name="Standard 5 3 7" xfId="251"/>
    <cellStyle name="Standard 5 4" xfId="252"/>
    <cellStyle name="Standard 5 4 2" xfId="253"/>
    <cellStyle name="Standard 5 4 3" xfId="254"/>
    <cellStyle name="Standard 5 5" xfId="255"/>
    <cellStyle name="Standard 5 5 2" xfId="256"/>
    <cellStyle name="Standard 5 5 3" xfId="257"/>
    <cellStyle name="Standard 5 6" xfId="258"/>
    <cellStyle name="Standard 5 6 2" xfId="259"/>
    <cellStyle name="Standard 5 6 3" xfId="260"/>
    <cellStyle name="Standard 5 7" xfId="261"/>
    <cellStyle name="Standard 5 7 2" xfId="262"/>
    <cellStyle name="Standard 5 7 3" xfId="263"/>
    <cellStyle name="Standard 5 8" xfId="264"/>
    <cellStyle name="Standard 5 9" xfId="265"/>
    <cellStyle name="Standard 6" xfId="266"/>
    <cellStyle name="Standard 6 2" xfId="267"/>
    <cellStyle name="Standard 6 2 2" xfId="268"/>
    <cellStyle name="Standard 6 2 2 2" xfId="269"/>
    <cellStyle name="Standard 6 2 2 3" xfId="270"/>
    <cellStyle name="Standard 6 2 3" xfId="271"/>
    <cellStyle name="Standard 6 2 3 2" xfId="272"/>
    <cellStyle name="Standard 6 2 3 3" xfId="273"/>
    <cellStyle name="Standard 6 2 4" xfId="274"/>
    <cellStyle name="Standard 6 2 4 2" xfId="275"/>
    <cellStyle name="Standard 6 2 4 3" xfId="276"/>
    <cellStyle name="Standard 6 2 5" xfId="277"/>
    <cellStyle name="Standard 6 2 5 2" xfId="278"/>
    <cellStyle name="Standard 6 2 5 3" xfId="279"/>
    <cellStyle name="Standard 6 2 6" xfId="280"/>
    <cellStyle name="Standard 6 2 7" xfId="281"/>
    <cellStyle name="Standard 6 3" xfId="282"/>
    <cellStyle name="Standard 6 3 2" xfId="283"/>
    <cellStyle name="Standard 6 3 2 2" xfId="284"/>
    <cellStyle name="Standard 6 3 2 3" xfId="285"/>
    <cellStyle name="Standard 6 3 3" xfId="286"/>
    <cellStyle name="Standard 6 3 3 2" xfId="287"/>
    <cellStyle name="Standard 6 3 3 3" xfId="288"/>
    <cellStyle name="Standard 6 3 4" xfId="289"/>
    <cellStyle name="Standard 6 3 4 2" xfId="290"/>
    <cellStyle name="Standard 6 3 4 3" xfId="291"/>
    <cellStyle name="Standard 6 3 5" xfId="292"/>
    <cellStyle name="Standard 6 3 5 2" xfId="293"/>
    <cellStyle name="Standard 6 3 5 3" xfId="294"/>
    <cellStyle name="Standard 6 3 6" xfId="295"/>
    <cellStyle name="Standard 6 3 7" xfId="296"/>
    <cellStyle name="Standard 6 4" xfId="297"/>
    <cellStyle name="Standard 6 4 2" xfId="298"/>
    <cellStyle name="Standard 6 4 3" xfId="299"/>
    <cellStyle name="Standard 6 5" xfId="300"/>
    <cellStyle name="Standard 6 5 2" xfId="301"/>
    <cellStyle name="Standard 6 5 3" xfId="302"/>
    <cellStyle name="Standard 6 6" xfId="303"/>
    <cellStyle name="Standard 6 6 2" xfId="304"/>
    <cellStyle name="Standard 6 6 3" xfId="305"/>
    <cellStyle name="Standard 6 7" xfId="306"/>
    <cellStyle name="Standard 6 7 2" xfId="307"/>
    <cellStyle name="Standard 6 7 3" xfId="308"/>
    <cellStyle name="Standard 6 8" xfId="309"/>
    <cellStyle name="Standard 6 9" xfId="310"/>
    <cellStyle name="Standard 7" xfId="311"/>
    <cellStyle name="Standard 8" xfId="312"/>
    <cellStyle name="Standard 9" xfId="313"/>
    <cellStyle name="Überschrift 1" xfId="314" builtinId="16" customBuiltin="1"/>
    <cellStyle name="Überschrift 1 2" xfId="315"/>
    <cellStyle name="Überschrift 1 3" xfId="316"/>
    <cellStyle name="Überschrift 1 4" xfId="317"/>
    <cellStyle name="Überschrift 2" xfId="318" builtinId="17" customBuiltin="1"/>
    <cellStyle name="Überschrift 2 2" xfId="319"/>
    <cellStyle name="Überschrift 2 3" xfId="320"/>
    <cellStyle name="Überschrift 2 4" xfId="321"/>
    <cellStyle name="Überschrift 3" xfId="322" builtinId="18" customBuiltin="1"/>
    <cellStyle name="Überschrift 3 2" xfId="323"/>
    <cellStyle name="Überschrift 3 3" xfId="324"/>
    <cellStyle name="Überschrift 3 4" xfId="325"/>
    <cellStyle name="Überschrift 4" xfId="326" builtinId="19" customBuiltin="1"/>
    <cellStyle name="Überschrift 4 2" xfId="327"/>
    <cellStyle name="Überschrift 4 3" xfId="328"/>
    <cellStyle name="Überschrift 4 4" xfId="329"/>
    <cellStyle name="Verknüpfte Zelle" xfId="330" builtinId="24" customBuiltin="1"/>
    <cellStyle name="Verknüpfte Zelle 2" xfId="331"/>
    <cellStyle name="Verknüpfte Zelle 3" xfId="332"/>
    <cellStyle name="Verknüpfte Zelle 4" xfId="333"/>
    <cellStyle name="Warnender Text" xfId="334" builtinId="11" customBuiltin="1"/>
    <cellStyle name="Warnender Text 2" xfId="335"/>
    <cellStyle name="Warnender Text 3" xfId="336"/>
    <cellStyle name="Warnender Text 4" xfId="337"/>
    <cellStyle name="Zelle überprüfen" xfId="338" builtinId="23" customBuiltin="1"/>
    <cellStyle name="Zelle überprüfen 2" xfId="339"/>
    <cellStyle name="Zelle überprüfen 3" xfId="340"/>
    <cellStyle name="Zelle überprüfen 4" xfId="341"/>
  </cellStyles>
  <dxfs count="5">
    <dxf>
      <font>
        <color rgb="FF9C0006"/>
      </font>
      <fill>
        <patternFill>
          <bgColor rgb="FFFFC7CE"/>
        </patternFill>
      </fill>
    </dxf>
    <dxf>
      <font>
        <b/>
        <i val="0"/>
        <color rgb="FFFF0000"/>
      </font>
    </dxf>
    <dxf>
      <font>
        <b/>
        <i val="0"/>
        <strike val="0"/>
        <condense val="0"/>
        <extend val="0"/>
        <outline val="0"/>
        <shadow val="0"/>
        <u val="none"/>
        <vertAlign val="baseline"/>
        <sz val="10"/>
        <color auto="1"/>
        <name val="Arial"/>
        <scheme val="none"/>
      </font>
      <fill>
        <patternFill patternType="solid">
          <fgColor indexed="64"/>
          <bgColor theme="0" tint="-0.249977111117893"/>
        </patternFill>
      </fill>
      <alignment horizontal="general"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4"/>
      <tableStyleElement type="headerRow"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tables/table1.xml><?xml version="1.0" encoding="utf-8"?>
<table xmlns="http://schemas.openxmlformats.org/spreadsheetml/2006/main" id="1" name="ChangeLog" displayName="ChangeLog" ref="A5:E10" totalsRowShown="0" headerRowDxfId="2">
  <autoFilter ref="A5:E10"/>
  <sortState ref="A2:E17">
    <sortCondition descending="1" ref="B1:B17"/>
  </sortState>
  <tableColumns count="5">
    <tableColumn id="1" name="Date"/>
    <tableColumn id="2" name="Change #"/>
    <tableColumn id="3" name="Version #"/>
    <tableColumn id="4" name="Person"/>
    <tableColumn id="5" name="Descriptio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_Home">
    <pageSetUpPr fitToPage="1"/>
  </sheetPr>
  <dimension ref="A1:C26"/>
  <sheetViews>
    <sheetView workbookViewId="0">
      <selection activeCell="B9" sqref="B9"/>
    </sheetView>
  </sheetViews>
  <sheetFormatPr baseColWidth="10" defaultColWidth="9.21875" defaultRowHeight="13.2" x14ac:dyDescent="0.25"/>
  <cols>
    <col min="1" max="1" width="18.5546875" style="20" bestFit="1" customWidth="1"/>
    <col min="2" max="2" width="78.77734375" style="20" customWidth="1"/>
    <col min="3" max="3" width="7.21875" style="20" bestFit="1" customWidth="1"/>
    <col min="4" max="7" width="9.21875" style="20"/>
    <col min="8" max="8" width="5.5546875" style="20" customWidth="1"/>
    <col min="9" max="16384" width="9.21875" style="20"/>
  </cols>
  <sheetData>
    <row r="1" spans="1:3" ht="17.399999999999999" x14ac:dyDescent="0.25">
      <c r="A1" s="3"/>
    </row>
    <row r="2" spans="1:3" ht="17.399999999999999" x14ac:dyDescent="0.25">
      <c r="A2" s="114" t="s">
        <v>310</v>
      </c>
      <c r="B2" s="114"/>
    </row>
    <row r="3" spans="1:3" ht="17.399999999999999" x14ac:dyDescent="0.25">
      <c r="A3" s="3"/>
      <c r="C3" s="71" t="s">
        <v>382</v>
      </c>
    </row>
    <row r="4" spans="1:3" x14ac:dyDescent="0.25">
      <c r="A4" s="61" t="s">
        <v>18</v>
      </c>
      <c r="B4" s="32">
        <v>43466</v>
      </c>
      <c r="C4" s="71">
        <f>LEN(HomeDatabaseDate)</f>
        <v>5</v>
      </c>
    </row>
    <row r="5" spans="1:3" x14ac:dyDescent="0.25">
      <c r="A5" s="61" t="s">
        <v>17</v>
      </c>
      <c r="B5" s="33" t="s">
        <v>399</v>
      </c>
      <c r="C5" s="71">
        <f>LEN(HomeDatabaseName)</f>
        <v>15</v>
      </c>
    </row>
    <row r="6" spans="1:3" x14ac:dyDescent="0.25">
      <c r="A6" s="61" t="s">
        <v>27</v>
      </c>
      <c r="B6" s="33" t="s">
        <v>384</v>
      </c>
      <c r="C6" s="71">
        <f>LEN(HomeDatabaseDescription)</f>
        <v>27</v>
      </c>
    </row>
    <row r="7" spans="1:3" x14ac:dyDescent="0.25">
      <c r="A7" s="61" t="s">
        <v>19</v>
      </c>
      <c r="B7" s="33" t="s">
        <v>151</v>
      </c>
      <c r="C7" s="71">
        <f>LEN(HomeDatabaseVersion)</f>
        <v>7</v>
      </c>
    </row>
    <row r="9" spans="1:3" x14ac:dyDescent="0.25">
      <c r="B9" s="21" t="s">
        <v>333</v>
      </c>
    </row>
    <row r="10" spans="1:3" x14ac:dyDescent="0.25">
      <c r="B10" s="69" t="s">
        <v>368</v>
      </c>
    </row>
    <row r="12" spans="1:3" s="22" customFormat="1" x14ac:dyDescent="0.25"/>
    <row r="13" spans="1:3" s="22" customFormat="1" x14ac:dyDescent="0.25">
      <c r="A13" s="62" t="s">
        <v>321</v>
      </c>
      <c r="B13" s="63" t="s">
        <v>322</v>
      </c>
    </row>
    <row r="14" spans="1:3" s="22" customFormat="1" x14ac:dyDescent="0.25">
      <c r="A14" s="63"/>
      <c r="B14" s="63" t="s">
        <v>323</v>
      </c>
    </row>
    <row r="15" spans="1:3" s="22" customFormat="1" x14ac:dyDescent="0.25">
      <c r="A15" s="63"/>
      <c r="B15" s="63" t="s">
        <v>324</v>
      </c>
    </row>
    <row r="16" spans="1:3" s="22" customFormat="1" ht="26.4" x14ac:dyDescent="0.25">
      <c r="A16" s="63"/>
      <c r="B16" s="63" t="s">
        <v>315</v>
      </c>
    </row>
    <row r="17" spans="1:2" s="22" customFormat="1" x14ac:dyDescent="0.25">
      <c r="A17" s="63"/>
      <c r="B17" s="63" t="s">
        <v>314</v>
      </c>
    </row>
    <row r="18" spans="1:2" s="22" customFormat="1" x14ac:dyDescent="0.25">
      <c r="A18" s="63"/>
      <c r="B18" s="63" t="s">
        <v>316</v>
      </c>
    </row>
    <row r="19" spans="1:2" s="22" customFormat="1" x14ac:dyDescent="0.25">
      <c r="A19" s="63"/>
      <c r="B19" s="63" t="s">
        <v>317</v>
      </c>
    </row>
    <row r="20" spans="1:2" s="22" customFormat="1" x14ac:dyDescent="0.25">
      <c r="A20" s="63"/>
      <c r="B20" s="63" t="s">
        <v>318</v>
      </c>
    </row>
    <row r="21" spans="1:2" s="22" customFormat="1" ht="26.4" x14ac:dyDescent="0.25">
      <c r="A21" s="63"/>
      <c r="B21" s="63" t="s">
        <v>325</v>
      </c>
    </row>
    <row r="22" spans="1:2" s="22" customFormat="1" x14ac:dyDescent="0.25">
      <c r="A22" s="63"/>
      <c r="B22" s="63" t="s">
        <v>319</v>
      </c>
    </row>
    <row r="24" spans="1:2" ht="132" x14ac:dyDescent="0.25">
      <c r="A24" s="64" t="s">
        <v>320</v>
      </c>
      <c r="B24" s="63" t="s">
        <v>394</v>
      </c>
    </row>
    <row r="26" spans="1:2" x14ac:dyDescent="0.25">
      <c r="A26" s="64" t="s">
        <v>383</v>
      </c>
      <c r="B26" s="63" t="s">
        <v>386</v>
      </c>
    </row>
  </sheetData>
  <dataConsolidate/>
  <mergeCells count="1">
    <mergeCell ref="A2:B2"/>
  </mergeCells>
  <phoneticPr fontId="23" type="noConversion"/>
  <conditionalFormatting sqref="C4:C7">
    <cfRule type="expression" dxfId="1" priority="2">
      <formula>"&gt;128"</formula>
    </cfRule>
  </conditionalFormatting>
  <conditionalFormatting sqref="C6">
    <cfRule type="cellIs" dxfId="0" priority="1" operator="greaterThan">
      <formula>128</formula>
    </cfRule>
  </conditionalFormatting>
  <dataValidations count="1">
    <dataValidation operator="greaterThan" showInputMessage="1" showErrorMessage="1" errorTitle="Required" error="Always enter a description of at least 10 characters." promptTitle="Description is required" sqref="B6"/>
  </dataValidations>
  <hyperlinks>
    <hyperlink ref="B9" location="Home!B9" display="Generate Script"/>
    <hyperlink ref="B10" location="Home!B10" display="Update Content"/>
  </hyperlinks>
  <pageMargins left="0.17" right="0.25" top="0.33" bottom="0.35" header="0.22" footer="0.16"/>
  <pageSetup orientation="landscape" r:id="rId1"/>
  <headerFooter alignWithMargins="0">
    <oddFooter>&amp;C&amp;P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_Readme">
    <tabColor theme="0" tint="-0.14999847407452621"/>
    <pageSetUpPr fitToPage="1"/>
  </sheetPr>
  <dimension ref="A1:C55"/>
  <sheetViews>
    <sheetView topLeftCell="A10" workbookViewId="0">
      <selection activeCell="A14" sqref="A14"/>
    </sheetView>
  </sheetViews>
  <sheetFormatPr baseColWidth="10" defaultColWidth="9.21875" defaultRowHeight="13.2" x14ac:dyDescent="0.25"/>
  <cols>
    <col min="1" max="1" width="116.44140625" style="1" customWidth="1"/>
    <col min="2" max="2" width="11" style="1" customWidth="1"/>
    <col min="3" max="3" width="10.5546875" style="1" customWidth="1"/>
    <col min="4" max="16384" width="9.21875" style="1"/>
  </cols>
  <sheetData>
    <row r="1" spans="1:3" s="20" customFormat="1" x14ac:dyDescent="0.25">
      <c r="A1" s="31" t="s">
        <v>307</v>
      </c>
    </row>
    <row r="2" spans="1:3" s="20" customFormat="1" x14ac:dyDescent="0.25">
      <c r="A2" s="31"/>
    </row>
    <row r="3" spans="1:3" s="20" customFormat="1" ht="17.399999999999999" x14ac:dyDescent="0.25">
      <c r="A3" s="114" t="s">
        <v>365</v>
      </c>
      <c r="B3" s="114"/>
    </row>
    <row r="4" spans="1:3" s="20" customFormat="1" x14ac:dyDescent="0.25">
      <c r="A4" s="31"/>
    </row>
    <row r="5" spans="1:3" x14ac:dyDescent="0.25">
      <c r="A5" s="65" t="s">
        <v>376</v>
      </c>
    </row>
    <row r="6" spans="1:3" x14ac:dyDescent="0.25">
      <c r="A6" s="30" t="s">
        <v>377</v>
      </c>
    </row>
    <row r="7" spans="1:3" ht="52.8" x14ac:dyDescent="0.25">
      <c r="A7" s="8" t="s">
        <v>378</v>
      </c>
    </row>
    <row r="8" spans="1:3" ht="66" x14ac:dyDescent="0.25">
      <c r="A8" s="8" t="s">
        <v>379</v>
      </c>
    </row>
    <row r="9" spans="1:3" s="20" customFormat="1" ht="52.8" x14ac:dyDescent="0.25">
      <c r="A9" s="8" t="s">
        <v>380</v>
      </c>
    </row>
    <row r="10" spans="1:3" s="20" customFormat="1" ht="52.8" x14ac:dyDescent="0.25">
      <c r="A10" s="8" t="s">
        <v>381</v>
      </c>
    </row>
    <row r="11" spans="1:3" s="20" customFormat="1" x14ac:dyDescent="0.25">
      <c r="A11" s="31"/>
    </row>
    <row r="12" spans="1:3" x14ac:dyDescent="0.25">
      <c r="A12" s="65" t="s">
        <v>326</v>
      </c>
    </row>
    <row r="13" spans="1:3" x14ac:dyDescent="0.25">
      <c r="A13" s="30" t="s">
        <v>327</v>
      </c>
    </row>
    <row r="14" spans="1:3" ht="52.8" x14ac:dyDescent="0.25">
      <c r="A14" s="8" t="s">
        <v>331</v>
      </c>
    </row>
    <row r="15" spans="1:3" x14ac:dyDescent="0.25">
      <c r="A15" s="7"/>
    </row>
    <row r="16" spans="1:3" x14ac:dyDescent="0.25">
      <c r="A16" s="30" t="s">
        <v>328</v>
      </c>
      <c r="C16" s="21"/>
    </row>
    <row r="17" spans="1:3" ht="39.6" x14ac:dyDescent="0.25">
      <c r="A17" s="8" t="s">
        <v>337</v>
      </c>
      <c r="C17" s="21"/>
    </row>
    <row r="18" spans="1:3" x14ac:dyDescent="0.25">
      <c r="A18" s="7"/>
      <c r="C18" s="21"/>
    </row>
    <row r="19" spans="1:3" x14ac:dyDescent="0.25">
      <c r="A19" s="30" t="s">
        <v>329</v>
      </c>
      <c r="C19" s="21"/>
    </row>
    <row r="20" spans="1:3" x14ac:dyDescent="0.25">
      <c r="A20" s="7" t="s">
        <v>338</v>
      </c>
      <c r="C20" s="21"/>
    </row>
    <row r="21" spans="1:3" x14ac:dyDescent="0.25">
      <c r="A21" s="7" t="s">
        <v>339</v>
      </c>
      <c r="C21" s="21"/>
    </row>
    <row r="22" spans="1:3" x14ac:dyDescent="0.25">
      <c r="C22" s="21"/>
    </row>
    <row r="23" spans="1:3" x14ac:dyDescent="0.25">
      <c r="A23" s="65" t="s">
        <v>330</v>
      </c>
      <c r="C23" s="21"/>
    </row>
    <row r="24" spans="1:3" x14ac:dyDescent="0.25">
      <c r="A24" s="30" t="s">
        <v>327</v>
      </c>
      <c r="C24" s="21"/>
    </row>
    <row r="25" spans="1:3" ht="66" x14ac:dyDescent="0.25">
      <c r="A25" s="8" t="s">
        <v>332</v>
      </c>
      <c r="C25" s="21"/>
    </row>
    <row r="26" spans="1:3" x14ac:dyDescent="0.25">
      <c r="A26" s="7"/>
      <c r="C26" s="21"/>
    </row>
    <row r="27" spans="1:3" x14ac:dyDescent="0.25">
      <c r="A27" s="30" t="s">
        <v>328</v>
      </c>
      <c r="C27" s="21"/>
    </row>
    <row r="28" spans="1:3" ht="26.4" x14ac:dyDescent="0.25">
      <c r="A28" s="8" t="s">
        <v>336</v>
      </c>
      <c r="C28" s="21"/>
    </row>
    <row r="29" spans="1:3" x14ac:dyDescent="0.25">
      <c r="A29" s="7"/>
      <c r="C29" s="21"/>
    </row>
    <row r="30" spans="1:3" x14ac:dyDescent="0.25">
      <c r="A30" s="30" t="s">
        <v>329</v>
      </c>
      <c r="C30" s="21"/>
    </row>
    <row r="31" spans="1:3" ht="66" x14ac:dyDescent="0.25">
      <c r="A31" s="8" t="s">
        <v>340</v>
      </c>
      <c r="C31" s="21"/>
    </row>
    <row r="32" spans="1:3" ht="52.8" x14ac:dyDescent="0.25">
      <c r="A32" s="8" t="s">
        <v>341</v>
      </c>
      <c r="C32" s="21"/>
    </row>
    <row r="33" spans="1:3" ht="52.8" x14ac:dyDescent="0.25">
      <c r="A33" s="8" t="s">
        <v>342</v>
      </c>
      <c r="C33" s="21"/>
    </row>
    <row r="34" spans="1:3" ht="92.4" x14ac:dyDescent="0.25">
      <c r="A34" s="66" t="s">
        <v>343</v>
      </c>
      <c r="C34" s="21"/>
    </row>
    <row r="35" spans="1:3" ht="92.4" x14ac:dyDescent="0.25">
      <c r="A35" s="8" t="s">
        <v>369</v>
      </c>
      <c r="C35" s="21"/>
    </row>
    <row r="36" spans="1:3" ht="39.6" x14ac:dyDescent="0.25">
      <c r="A36" s="8" t="s">
        <v>344</v>
      </c>
      <c r="C36" s="21"/>
    </row>
    <row r="37" spans="1:3" ht="52.8" x14ac:dyDescent="0.25">
      <c r="A37" s="8" t="s">
        <v>345</v>
      </c>
      <c r="C37" s="21"/>
    </row>
    <row r="38" spans="1:3" ht="52.8" x14ac:dyDescent="0.25">
      <c r="A38" s="8" t="s">
        <v>347</v>
      </c>
      <c r="C38" s="21"/>
    </row>
    <row r="39" spans="1:3" ht="52.8" x14ac:dyDescent="0.25">
      <c r="A39" s="8" t="s">
        <v>348</v>
      </c>
      <c r="C39" s="21"/>
    </row>
    <row r="40" spans="1:3" ht="52.8" x14ac:dyDescent="0.25">
      <c r="A40" s="8" t="s">
        <v>349</v>
      </c>
      <c r="C40" s="21"/>
    </row>
    <row r="41" spans="1:3" ht="39.6" x14ac:dyDescent="0.25">
      <c r="A41" s="8" t="s">
        <v>350</v>
      </c>
      <c r="C41" s="21"/>
    </row>
    <row r="42" spans="1:3" ht="39.6" x14ac:dyDescent="0.25">
      <c r="A42" s="8" t="s">
        <v>351</v>
      </c>
      <c r="C42" s="21"/>
    </row>
    <row r="43" spans="1:3" ht="39.6" x14ac:dyDescent="0.25">
      <c r="A43" s="8" t="s">
        <v>352</v>
      </c>
      <c r="C43" s="21"/>
    </row>
    <row r="44" spans="1:3" ht="39.6" x14ac:dyDescent="0.25">
      <c r="A44" s="8" t="s">
        <v>353</v>
      </c>
      <c r="C44" s="21"/>
    </row>
    <row r="45" spans="1:3" ht="92.4" x14ac:dyDescent="0.25">
      <c r="A45" s="8" t="s">
        <v>354</v>
      </c>
      <c r="C45" s="21"/>
    </row>
    <row r="46" spans="1:3" ht="39.6" x14ac:dyDescent="0.25">
      <c r="A46" s="8" t="s">
        <v>356</v>
      </c>
      <c r="C46" s="21"/>
    </row>
    <row r="47" spans="1:3" ht="39.6" x14ac:dyDescent="0.25">
      <c r="A47" s="8" t="s">
        <v>355</v>
      </c>
      <c r="C47" s="21"/>
    </row>
    <row r="48" spans="1:3" ht="39.6" x14ac:dyDescent="0.25">
      <c r="A48" s="8" t="s">
        <v>371</v>
      </c>
      <c r="C48" s="21"/>
    </row>
    <row r="49" spans="1:1" ht="79.2" x14ac:dyDescent="0.25">
      <c r="A49" s="8" t="s">
        <v>358</v>
      </c>
    </row>
    <row r="50" spans="1:1" ht="26.4" x14ac:dyDescent="0.25">
      <c r="A50" s="8" t="s">
        <v>363</v>
      </c>
    </row>
    <row r="51" spans="1:1" ht="26.4" x14ac:dyDescent="0.25">
      <c r="A51" s="8" t="s">
        <v>362</v>
      </c>
    </row>
    <row r="52" spans="1:1" ht="26.4" x14ac:dyDescent="0.25">
      <c r="A52" s="8" t="s">
        <v>361</v>
      </c>
    </row>
    <row r="53" spans="1:1" ht="26.4" x14ac:dyDescent="0.25">
      <c r="A53" s="8" t="s">
        <v>360</v>
      </c>
    </row>
    <row r="54" spans="1:1" ht="26.4" x14ac:dyDescent="0.25">
      <c r="A54" s="8" t="s">
        <v>359</v>
      </c>
    </row>
    <row r="55" spans="1:1" ht="26.4" x14ac:dyDescent="0.25">
      <c r="A55" s="8" t="s">
        <v>364</v>
      </c>
    </row>
  </sheetData>
  <dataConsolidate/>
  <mergeCells count="1">
    <mergeCell ref="A3:B3"/>
  </mergeCells>
  <phoneticPr fontId="3" type="noConversion"/>
  <hyperlinks>
    <hyperlink ref="A1" location="Home!A1" display="Home"/>
  </hyperlinks>
  <pageMargins left="0.17" right="0.25" top="0.33" bottom="0.35" header="0.22" footer="0.16"/>
  <pageSetup scale="35" orientation="landscape" r:id="rId1"/>
  <headerFooter alignWithMargins="0">
    <oddFooter>&amp;C&amp;P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_Content">
    <tabColor theme="0" tint="-0.14999847407452621"/>
    <pageSetUpPr fitToPage="1"/>
  </sheetPr>
  <dimension ref="A1:C1004"/>
  <sheetViews>
    <sheetView workbookViewId="0">
      <selection activeCell="C30" sqref="C30"/>
    </sheetView>
  </sheetViews>
  <sheetFormatPr baseColWidth="10" defaultColWidth="9.21875" defaultRowHeight="13.2" x14ac:dyDescent="0.25"/>
  <cols>
    <col min="1" max="1" width="10.5546875" style="1" bestFit="1" customWidth="1"/>
    <col min="2" max="2" width="30.77734375" style="1" customWidth="1"/>
    <col min="3" max="3" width="89.5546875" style="1" customWidth="1"/>
    <col min="4" max="16384" width="9.21875" style="1"/>
  </cols>
  <sheetData>
    <row r="1" spans="1:3" s="20" customFormat="1" x14ac:dyDescent="0.25">
      <c r="A1" s="31" t="s">
        <v>307</v>
      </c>
    </row>
    <row r="2" spans="1:3" s="20" customFormat="1" x14ac:dyDescent="0.25">
      <c r="A2" s="21" t="s">
        <v>368</v>
      </c>
    </row>
    <row r="3" spans="1:3" s="20" customFormat="1" x14ac:dyDescent="0.25">
      <c r="A3" s="1"/>
      <c r="B3" s="1"/>
      <c r="C3" s="1"/>
    </row>
    <row r="4" spans="1:3" s="20" customFormat="1" ht="17.399999999999999" x14ac:dyDescent="0.25">
      <c r="A4" s="68" t="s">
        <v>366</v>
      </c>
    </row>
    <row r="5" spans="1:3" s="20" customFormat="1" x14ac:dyDescent="0.25">
      <c r="A5" s="1"/>
      <c r="B5" s="1"/>
      <c r="C5" s="1"/>
    </row>
    <row r="6" spans="1:3" x14ac:dyDescent="0.25">
      <c r="A6" s="27" t="s">
        <v>37</v>
      </c>
      <c r="B6" s="27" t="s">
        <v>3</v>
      </c>
      <c r="C6" s="27" t="s">
        <v>7</v>
      </c>
    </row>
    <row r="7" spans="1:3" x14ac:dyDescent="0.25">
      <c r="A7" s="69" t="str">
        <f>HYPERLINK("[Sample01_DB.xlsm]E1.Test!A1","E1")</f>
        <v>E1</v>
      </c>
      <c r="B7" s="69" t="str">
        <f>HYPERLINK("[Sample01_DB.xlsm]E1.Test!A1","Test")</f>
        <v>Test</v>
      </c>
      <c r="C7" t="s">
        <v>388</v>
      </c>
    </row>
    <row r="8" spans="1:3" x14ac:dyDescent="0.25">
      <c r="A8" s="69" t="str">
        <f>HYPERLINK("[Sample01_DB.xlsm]T1.Test!A1","T1")</f>
        <v>T1</v>
      </c>
      <c r="B8" s="69" t="str">
        <f>HYPERLINK("[Sample01_DB.xlsm]T1.Test!A1","Test")</f>
        <v>Test</v>
      </c>
      <c r="C8" t="s">
        <v>388</v>
      </c>
    </row>
    <row r="9" spans="1:3" x14ac:dyDescent="0.25">
      <c r="A9" s="69" t="str">
        <f>HYPERLINK("[Sample01_DB.xlsm]T2.Test!A1","T2")</f>
        <v>T2</v>
      </c>
      <c r="B9" s="69" t="str">
        <f>HYPERLINK("[Sample01_DB.xlsm]T2.Test!A1","Test")</f>
        <v>Test</v>
      </c>
      <c r="C9" t="s">
        <v>388</v>
      </c>
    </row>
    <row r="10" spans="1:3" x14ac:dyDescent="0.25">
      <c r="A10" s="69" t="str">
        <f>HYPERLINK("[Sample01_DB.xlsm]LOG.Component!A1","LOG")</f>
        <v>LOG</v>
      </c>
      <c r="B10" s="69" t="str">
        <f>HYPERLINK("[Sample01_DB.xlsm]LOG.Component!A1","Component")</f>
        <v>Component</v>
      </c>
      <c r="C10" t="s">
        <v>370</v>
      </c>
    </row>
    <row r="11" spans="1:3" x14ac:dyDescent="0.25">
      <c r="A11" s="69" t="str">
        <f>HYPERLINK("[Sample01_DB.xlsm]LOG.Error!A1","LOG")</f>
        <v>LOG</v>
      </c>
      <c r="B11" s="69" t="str">
        <f>HYPERLINK("[Sample01_DB.xlsm]LOG.Error!A1","Error")</f>
        <v>Error</v>
      </c>
      <c r="C11" t="s">
        <v>69</v>
      </c>
    </row>
    <row r="12" spans="1:3" x14ac:dyDescent="0.25">
      <c r="A12" s="69" t="str">
        <f>HYPERLINK("[Sample01_DB.xlsm]LOG.Execution!A1","LOG")</f>
        <v>LOG</v>
      </c>
      <c r="B12" s="69" t="str">
        <f>HYPERLINK("[Sample01_DB.xlsm]LOG.Execution!A1","Execution")</f>
        <v>Execution</v>
      </c>
      <c r="C12" t="s">
        <v>44</v>
      </c>
    </row>
    <row r="13" spans="1:3" x14ac:dyDescent="0.25">
      <c r="A13" s="69" t="str">
        <f>HYPERLINK("[Sample01_DB.xlsm]LOG.ExportFile!A1","LOG")</f>
        <v>LOG</v>
      </c>
      <c r="B13" s="69" t="str">
        <f>HYPERLINK("[Sample01_DB.xlsm]LOG.ExportFile!A1","ExportFile")</f>
        <v>ExportFile</v>
      </c>
      <c r="C13" t="s">
        <v>96</v>
      </c>
    </row>
    <row r="14" spans="1:3" x14ac:dyDescent="0.25">
      <c r="A14" s="69" t="str">
        <f>HYPERLINK("[Sample01_DB.xlsm]LOG.ImportFile!A1","LOG")</f>
        <v>LOG</v>
      </c>
      <c r="B14" s="69" t="str">
        <f>HYPERLINK("[Sample01_DB.xlsm]LOG.ImportFile!A1","ImportFile")</f>
        <v>ImportFile</v>
      </c>
      <c r="C14" t="s">
        <v>387</v>
      </c>
    </row>
    <row r="15" spans="1:3" x14ac:dyDescent="0.25">
      <c r="A15" s="69" t="str">
        <f>HYPERLINK("[Sample01_DB.xlsm]LOG.Trace!A1","LOG")</f>
        <v>LOG</v>
      </c>
      <c r="B15" s="69" t="str">
        <f>HYPERLINK("[Sample01_DB.xlsm]LOG.Trace!A1","Trace")</f>
        <v>Trace</v>
      </c>
      <c r="C15" t="s">
        <v>193</v>
      </c>
    </row>
    <row r="16" spans="1:3" x14ac:dyDescent="0.25">
      <c r="A16" s="69" t="str">
        <f>HYPERLINK("[Sample01_DB.xlsm]CONFIG.CheckConstraint!A1","CONFIG")</f>
        <v>CONFIG</v>
      </c>
      <c r="B16" s="69" t="str">
        <f>HYPERLINK("[Sample01_DB.xlsm]CONFIG.CheckConstraint!A1","CheckConstraint")</f>
        <v>CheckConstraint</v>
      </c>
      <c r="C16" t="s">
        <v>262</v>
      </c>
    </row>
    <row r="17" spans="1:3" x14ac:dyDescent="0.25">
      <c r="A17" s="69" t="str">
        <f>HYPERLINK("[Sample01_DB.xlsm]CONFIG.Configuration!A1","CONFIG")</f>
        <v>CONFIG</v>
      </c>
      <c r="B17" s="69" t="str">
        <f>HYPERLINK("[Sample01_DB.xlsm]CONFIG.Configuration!A1","Configuration")</f>
        <v>Configuration</v>
      </c>
      <c r="C17" t="s">
        <v>256</v>
      </c>
    </row>
    <row r="18" spans="1:3" x14ac:dyDescent="0.25">
      <c r="A18" s="69" t="str">
        <f>HYPERLINK("[Sample01_DB.xlsm]CONFIG.DBVersion!A1","CONFIG")</f>
        <v>CONFIG</v>
      </c>
      <c r="B18" s="69" t="str">
        <f>HYPERLINK("[Sample01_DB.xlsm]CONFIG.DBVersion!A1","DBVersion")</f>
        <v>DBVersion</v>
      </c>
      <c r="C18" t="s">
        <v>108</v>
      </c>
    </row>
    <row r="19" spans="1:3" ht="26.4" x14ac:dyDescent="0.25">
      <c r="A19" s="69" t="str">
        <f>HYPERLINK("[Sample01_DB.xlsm]CONFIG.TableMetadata!A1","CONFIG")</f>
        <v>CONFIG</v>
      </c>
      <c r="B19" s="69" t="str">
        <f>HYPERLINK("[Sample01_DB.xlsm]CONFIG.TableMetadata!A1","TableMetadata")</f>
        <v>TableMetadata</v>
      </c>
      <c r="C19" s="67" t="s">
        <v>293</v>
      </c>
    </row>
    <row r="20" spans="1:3" x14ac:dyDescent="0.25">
      <c r="A20" s="69" t="str">
        <f>HYPERLINK("[Sample01_DB.xlsm]LOG._Template!A1","LOG")</f>
        <v>LOG</v>
      </c>
      <c r="B20" s="69" t="str">
        <f>HYPERLINK("[Sample01_DB.xlsm]LOG._Template!A1","_Template")</f>
        <v>_Template</v>
      </c>
      <c r="C20" t="s">
        <v>44</v>
      </c>
    </row>
    <row r="21" spans="1:3" x14ac:dyDescent="0.25">
      <c r="A21"/>
      <c r="B21"/>
      <c r="C21"/>
    </row>
    <row r="22" spans="1:3" x14ac:dyDescent="0.25">
      <c r="A22"/>
      <c r="B22"/>
      <c r="C22"/>
    </row>
    <row r="23" spans="1:3" x14ac:dyDescent="0.25">
      <c r="A23"/>
      <c r="B23"/>
      <c r="C23"/>
    </row>
    <row r="24" spans="1:3" x14ac:dyDescent="0.25">
      <c r="A24"/>
      <c r="B24"/>
      <c r="C24"/>
    </row>
    <row r="25" spans="1:3" x14ac:dyDescent="0.25">
      <c r="A25"/>
      <c r="B25"/>
      <c r="C25"/>
    </row>
    <row r="26" spans="1:3" x14ac:dyDescent="0.25">
      <c r="A26"/>
      <c r="B26"/>
      <c r="C26"/>
    </row>
    <row r="27" spans="1:3" x14ac:dyDescent="0.25">
      <c r="A27"/>
      <c r="B27"/>
      <c r="C27"/>
    </row>
    <row r="28" spans="1:3" x14ac:dyDescent="0.25">
      <c r="A28"/>
      <c r="B28"/>
      <c r="C28"/>
    </row>
    <row r="29" spans="1:3" x14ac:dyDescent="0.25">
      <c r="A29"/>
      <c r="B29"/>
      <c r="C29"/>
    </row>
    <row r="30" spans="1:3" x14ac:dyDescent="0.25">
      <c r="A30"/>
      <c r="B30"/>
      <c r="C30"/>
    </row>
    <row r="31" spans="1:3" x14ac:dyDescent="0.25">
      <c r="A31"/>
      <c r="B31"/>
      <c r="C31"/>
    </row>
    <row r="32" spans="1:3" x14ac:dyDescent="0.25">
      <c r="A32"/>
      <c r="B32"/>
      <c r="C32"/>
    </row>
    <row r="33" spans="1:3" x14ac:dyDescent="0.25">
      <c r="A33"/>
      <c r="B33"/>
      <c r="C33"/>
    </row>
    <row r="34" spans="1:3" x14ac:dyDescent="0.25">
      <c r="A34"/>
      <c r="B34"/>
      <c r="C34"/>
    </row>
    <row r="35" spans="1:3" x14ac:dyDescent="0.25">
      <c r="A35"/>
      <c r="B35"/>
      <c r="C35"/>
    </row>
    <row r="36" spans="1:3" x14ac:dyDescent="0.25">
      <c r="A36"/>
      <c r="B36"/>
      <c r="C36"/>
    </row>
    <row r="37" spans="1:3" x14ac:dyDescent="0.25">
      <c r="A37"/>
      <c r="B37"/>
      <c r="C37"/>
    </row>
    <row r="38" spans="1:3" x14ac:dyDescent="0.25">
      <c r="A38"/>
      <c r="B38"/>
      <c r="C38"/>
    </row>
    <row r="39" spans="1:3" x14ac:dyDescent="0.25">
      <c r="A39"/>
      <c r="B39"/>
      <c r="C39"/>
    </row>
    <row r="40" spans="1:3" x14ac:dyDescent="0.25">
      <c r="A40"/>
      <c r="B40"/>
      <c r="C40"/>
    </row>
    <row r="41" spans="1:3" x14ac:dyDescent="0.25">
      <c r="A41"/>
      <c r="B41"/>
      <c r="C41"/>
    </row>
    <row r="42" spans="1:3" x14ac:dyDescent="0.25">
      <c r="A42"/>
      <c r="B42"/>
      <c r="C42"/>
    </row>
    <row r="43" spans="1:3" x14ac:dyDescent="0.25">
      <c r="A43"/>
      <c r="B43"/>
      <c r="C43"/>
    </row>
    <row r="44" spans="1:3" x14ac:dyDescent="0.25">
      <c r="A44"/>
      <c r="B44"/>
      <c r="C44"/>
    </row>
    <row r="45" spans="1:3" x14ac:dyDescent="0.25">
      <c r="A45"/>
      <c r="B45"/>
      <c r="C45"/>
    </row>
    <row r="46" spans="1:3" x14ac:dyDescent="0.25">
      <c r="A46"/>
      <c r="B46"/>
      <c r="C46"/>
    </row>
    <row r="47" spans="1:3" x14ac:dyDescent="0.25">
      <c r="A47"/>
      <c r="B47"/>
      <c r="C47"/>
    </row>
    <row r="48" spans="1:3" x14ac:dyDescent="0.25">
      <c r="A48"/>
      <c r="B48"/>
      <c r="C48"/>
    </row>
    <row r="49" spans="1:3" x14ac:dyDescent="0.25">
      <c r="A49"/>
      <c r="B49"/>
      <c r="C49"/>
    </row>
    <row r="50" spans="1:3" x14ac:dyDescent="0.25">
      <c r="A50"/>
      <c r="B50"/>
      <c r="C50"/>
    </row>
    <row r="51" spans="1:3" x14ac:dyDescent="0.25">
      <c r="A51"/>
      <c r="B51"/>
      <c r="C51"/>
    </row>
    <row r="52" spans="1:3" x14ac:dyDescent="0.25">
      <c r="A52"/>
      <c r="B52"/>
      <c r="C52"/>
    </row>
    <row r="53" spans="1:3" x14ac:dyDescent="0.25">
      <c r="A53"/>
      <c r="B53"/>
      <c r="C53"/>
    </row>
    <row r="54" spans="1:3" x14ac:dyDescent="0.25">
      <c r="A54"/>
      <c r="B54"/>
      <c r="C54"/>
    </row>
    <row r="55" spans="1:3" x14ac:dyDescent="0.25">
      <c r="A55"/>
      <c r="B55"/>
      <c r="C55"/>
    </row>
    <row r="56" spans="1:3" x14ac:dyDescent="0.25">
      <c r="A56"/>
      <c r="B56"/>
      <c r="C56"/>
    </row>
    <row r="57" spans="1:3" x14ac:dyDescent="0.25">
      <c r="A57"/>
      <c r="B57"/>
      <c r="C57"/>
    </row>
    <row r="58" spans="1:3" x14ac:dyDescent="0.25">
      <c r="A58"/>
      <c r="B58"/>
      <c r="C58"/>
    </row>
    <row r="59" spans="1:3" x14ac:dyDescent="0.25">
      <c r="A59"/>
      <c r="B59"/>
      <c r="C59"/>
    </row>
    <row r="60" spans="1:3" x14ac:dyDescent="0.25">
      <c r="A60"/>
      <c r="B60"/>
      <c r="C60"/>
    </row>
    <row r="61" spans="1:3" x14ac:dyDescent="0.25">
      <c r="A61"/>
      <c r="B61"/>
      <c r="C61"/>
    </row>
    <row r="62" spans="1:3" x14ac:dyDescent="0.25">
      <c r="A62"/>
      <c r="B62"/>
      <c r="C62"/>
    </row>
    <row r="63" spans="1:3" x14ac:dyDescent="0.25">
      <c r="A63"/>
      <c r="B63"/>
      <c r="C63"/>
    </row>
    <row r="64" spans="1:3" x14ac:dyDescent="0.25">
      <c r="A64"/>
      <c r="B64"/>
      <c r="C64"/>
    </row>
    <row r="65" spans="1:3" x14ac:dyDescent="0.25">
      <c r="A65"/>
      <c r="B65"/>
      <c r="C65"/>
    </row>
    <row r="66" spans="1:3" x14ac:dyDescent="0.25">
      <c r="A66"/>
      <c r="B66"/>
      <c r="C66"/>
    </row>
    <row r="67" spans="1:3" x14ac:dyDescent="0.25">
      <c r="A67"/>
      <c r="B67"/>
      <c r="C67"/>
    </row>
    <row r="68" spans="1:3" x14ac:dyDescent="0.25">
      <c r="A68"/>
      <c r="B68"/>
      <c r="C68"/>
    </row>
    <row r="69" spans="1:3" x14ac:dyDescent="0.25">
      <c r="A69"/>
      <c r="B69"/>
      <c r="C69"/>
    </row>
    <row r="70" spans="1:3" x14ac:dyDescent="0.25">
      <c r="A70"/>
      <c r="B70"/>
      <c r="C70"/>
    </row>
    <row r="71" spans="1:3" x14ac:dyDescent="0.25">
      <c r="A71"/>
      <c r="B71"/>
      <c r="C71"/>
    </row>
    <row r="72" spans="1:3" x14ac:dyDescent="0.25">
      <c r="A72"/>
      <c r="B72"/>
      <c r="C72"/>
    </row>
    <row r="73" spans="1:3" x14ac:dyDescent="0.25">
      <c r="A73"/>
      <c r="B73"/>
      <c r="C73"/>
    </row>
    <row r="74" spans="1:3" x14ac:dyDescent="0.25">
      <c r="A74"/>
      <c r="B74"/>
      <c r="C74"/>
    </row>
    <row r="75" spans="1:3" x14ac:dyDescent="0.25">
      <c r="A75"/>
      <c r="B75"/>
      <c r="C75"/>
    </row>
    <row r="76" spans="1:3" x14ac:dyDescent="0.25">
      <c r="A76"/>
      <c r="B76"/>
      <c r="C76"/>
    </row>
    <row r="77" spans="1:3" x14ac:dyDescent="0.25">
      <c r="A77"/>
      <c r="B77"/>
      <c r="C77"/>
    </row>
    <row r="78" spans="1:3" x14ac:dyDescent="0.25">
      <c r="A78"/>
      <c r="B78"/>
      <c r="C78"/>
    </row>
    <row r="79" spans="1:3" x14ac:dyDescent="0.25">
      <c r="A79"/>
      <c r="B79"/>
      <c r="C79"/>
    </row>
    <row r="80" spans="1:3" x14ac:dyDescent="0.25">
      <c r="A80"/>
      <c r="B80"/>
      <c r="C80"/>
    </row>
    <row r="81" spans="1:3" x14ac:dyDescent="0.25">
      <c r="A81"/>
      <c r="B81"/>
      <c r="C81"/>
    </row>
    <row r="82" spans="1:3" x14ac:dyDescent="0.25">
      <c r="A82"/>
      <c r="B82"/>
      <c r="C82"/>
    </row>
    <row r="83" spans="1:3" x14ac:dyDescent="0.25">
      <c r="A83"/>
      <c r="B83"/>
      <c r="C83"/>
    </row>
    <row r="84" spans="1:3" x14ac:dyDescent="0.25">
      <c r="A84"/>
      <c r="B84"/>
      <c r="C84"/>
    </row>
    <row r="85" spans="1:3" x14ac:dyDescent="0.25">
      <c r="A85"/>
      <c r="B85"/>
      <c r="C85"/>
    </row>
    <row r="86" spans="1:3" x14ac:dyDescent="0.25">
      <c r="A86"/>
      <c r="B86"/>
      <c r="C86"/>
    </row>
    <row r="87" spans="1:3" x14ac:dyDescent="0.25">
      <c r="A87"/>
      <c r="B87"/>
      <c r="C87"/>
    </row>
    <row r="88" spans="1:3" x14ac:dyDescent="0.25">
      <c r="A88"/>
      <c r="B88"/>
      <c r="C88"/>
    </row>
    <row r="89" spans="1:3" x14ac:dyDescent="0.25">
      <c r="A89"/>
      <c r="B89"/>
      <c r="C89"/>
    </row>
    <row r="90" spans="1:3" x14ac:dyDescent="0.25">
      <c r="A90"/>
      <c r="B90"/>
      <c r="C90"/>
    </row>
    <row r="91" spans="1:3" x14ac:dyDescent="0.25">
      <c r="A91"/>
      <c r="B91"/>
      <c r="C91"/>
    </row>
    <row r="92" spans="1:3" x14ac:dyDescent="0.25">
      <c r="A92"/>
      <c r="B92"/>
      <c r="C92"/>
    </row>
    <row r="93" spans="1:3" x14ac:dyDescent="0.25">
      <c r="A93"/>
      <c r="B93"/>
      <c r="C93"/>
    </row>
    <row r="94" spans="1:3" x14ac:dyDescent="0.25">
      <c r="A94"/>
      <c r="B94"/>
      <c r="C94"/>
    </row>
    <row r="95" spans="1:3" x14ac:dyDescent="0.25">
      <c r="A95"/>
      <c r="B95"/>
      <c r="C95"/>
    </row>
    <row r="96" spans="1:3" x14ac:dyDescent="0.25">
      <c r="A96"/>
      <c r="B96"/>
      <c r="C96"/>
    </row>
    <row r="97" spans="1:3" x14ac:dyDescent="0.25">
      <c r="A97"/>
      <c r="B97"/>
      <c r="C97"/>
    </row>
    <row r="98" spans="1:3" x14ac:dyDescent="0.25">
      <c r="A98"/>
      <c r="B98"/>
      <c r="C98"/>
    </row>
    <row r="99" spans="1:3" x14ac:dyDescent="0.25">
      <c r="A99"/>
      <c r="B99"/>
      <c r="C99"/>
    </row>
    <row r="100" spans="1:3" x14ac:dyDescent="0.25">
      <c r="A100"/>
      <c r="B100"/>
      <c r="C100"/>
    </row>
    <row r="101" spans="1:3" x14ac:dyDescent="0.25">
      <c r="A101"/>
      <c r="B101"/>
      <c r="C101"/>
    </row>
    <row r="102" spans="1:3" x14ac:dyDescent="0.25">
      <c r="A102"/>
      <c r="B102"/>
      <c r="C102"/>
    </row>
    <row r="103" spans="1:3" x14ac:dyDescent="0.25">
      <c r="A103"/>
      <c r="B103"/>
      <c r="C103"/>
    </row>
    <row r="104" spans="1:3" x14ac:dyDescent="0.25">
      <c r="A104"/>
      <c r="B104"/>
      <c r="C104"/>
    </row>
    <row r="105" spans="1:3" x14ac:dyDescent="0.25">
      <c r="A105"/>
      <c r="B105"/>
      <c r="C105"/>
    </row>
    <row r="106" spans="1:3" x14ac:dyDescent="0.25">
      <c r="A106"/>
      <c r="B106"/>
      <c r="C106"/>
    </row>
    <row r="107" spans="1:3" x14ac:dyDescent="0.25">
      <c r="A107"/>
      <c r="B107"/>
      <c r="C107"/>
    </row>
    <row r="108" spans="1:3" x14ac:dyDescent="0.25">
      <c r="A108"/>
      <c r="B108"/>
      <c r="C108"/>
    </row>
    <row r="109" spans="1:3" x14ac:dyDescent="0.25">
      <c r="A109"/>
      <c r="B109"/>
      <c r="C109"/>
    </row>
    <row r="110" spans="1:3" x14ac:dyDescent="0.25">
      <c r="A110"/>
      <c r="B110"/>
      <c r="C110"/>
    </row>
    <row r="111" spans="1:3" x14ac:dyDescent="0.25">
      <c r="A111"/>
      <c r="B111"/>
      <c r="C111"/>
    </row>
    <row r="112" spans="1:3" x14ac:dyDescent="0.25">
      <c r="A112"/>
      <c r="B112"/>
      <c r="C112"/>
    </row>
    <row r="113" spans="1:3" x14ac:dyDescent="0.25">
      <c r="A113"/>
      <c r="B113"/>
      <c r="C113"/>
    </row>
    <row r="114" spans="1:3" x14ac:dyDescent="0.25">
      <c r="A114"/>
      <c r="B114"/>
      <c r="C114"/>
    </row>
    <row r="115" spans="1:3" x14ac:dyDescent="0.25">
      <c r="A115"/>
      <c r="B115"/>
      <c r="C115"/>
    </row>
    <row r="116" spans="1:3" x14ac:dyDescent="0.25">
      <c r="A116"/>
      <c r="B116"/>
      <c r="C116"/>
    </row>
    <row r="117" spans="1:3" x14ac:dyDescent="0.25">
      <c r="A117"/>
      <c r="B117"/>
      <c r="C117"/>
    </row>
    <row r="118" spans="1:3" x14ac:dyDescent="0.25">
      <c r="A118"/>
      <c r="B118"/>
      <c r="C118"/>
    </row>
    <row r="119" spans="1:3" x14ac:dyDescent="0.25">
      <c r="A119"/>
      <c r="B119"/>
      <c r="C119"/>
    </row>
    <row r="120" spans="1:3" x14ac:dyDescent="0.25">
      <c r="A120"/>
      <c r="B120"/>
      <c r="C120"/>
    </row>
    <row r="121" spans="1:3" x14ac:dyDescent="0.25">
      <c r="A121"/>
      <c r="B121"/>
      <c r="C121"/>
    </row>
    <row r="122" spans="1:3" x14ac:dyDescent="0.25">
      <c r="A122"/>
      <c r="B122"/>
      <c r="C122"/>
    </row>
    <row r="123" spans="1:3" x14ac:dyDescent="0.25">
      <c r="A123"/>
      <c r="B123"/>
      <c r="C123"/>
    </row>
    <row r="124" spans="1:3" x14ac:dyDescent="0.25">
      <c r="A124"/>
      <c r="B124"/>
      <c r="C124"/>
    </row>
    <row r="125" spans="1:3" x14ac:dyDescent="0.25">
      <c r="A125"/>
      <c r="B125"/>
      <c r="C125"/>
    </row>
    <row r="126" spans="1:3" x14ac:dyDescent="0.25">
      <c r="A126"/>
      <c r="B126"/>
      <c r="C126"/>
    </row>
    <row r="127" spans="1:3" x14ac:dyDescent="0.25">
      <c r="A127"/>
      <c r="B127"/>
      <c r="C127"/>
    </row>
    <row r="128" spans="1:3" x14ac:dyDescent="0.25">
      <c r="A128"/>
      <c r="B128"/>
      <c r="C128"/>
    </row>
    <row r="129" spans="1:3" x14ac:dyDescent="0.25">
      <c r="A129"/>
      <c r="B129"/>
      <c r="C129"/>
    </row>
    <row r="130" spans="1:3" x14ac:dyDescent="0.25">
      <c r="A130"/>
      <c r="B130"/>
      <c r="C130"/>
    </row>
    <row r="131" spans="1:3" x14ac:dyDescent="0.25">
      <c r="A131"/>
      <c r="B131"/>
      <c r="C131"/>
    </row>
    <row r="132" spans="1:3" x14ac:dyDescent="0.25">
      <c r="A132"/>
      <c r="B132"/>
      <c r="C132"/>
    </row>
    <row r="133" spans="1:3" x14ac:dyDescent="0.25">
      <c r="A133"/>
      <c r="B133"/>
      <c r="C133"/>
    </row>
    <row r="134" spans="1:3" x14ac:dyDescent="0.25">
      <c r="A134"/>
      <c r="B134"/>
      <c r="C134"/>
    </row>
    <row r="135" spans="1:3" x14ac:dyDescent="0.25">
      <c r="A135"/>
      <c r="B135"/>
      <c r="C135"/>
    </row>
    <row r="136" spans="1:3" x14ac:dyDescent="0.25">
      <c r="A136"/>
      <c r="B136"/>
      <c r="C136"/>
    </row>
    <row r="137" spans="1:3" x14ac:dyDescent="0.25">
      <c r="A137"/>
      <c r="B137"/>
      <c r="C137"/>
    </row>
    <row r="138" spans="1:3" x14ac:dyDescent="0.25">
      <c r="A138"/>
      <c r="B138"/>
      <c r="C138"/>
    </row>
    <row r="139" spans="1:3" x14ac:dyDescent="0.25">
      <c r="A139"/>
      <c r="B139"/>
      <c r="C139"/>
    </row>
    <row r="140" spans="1:3" x14ac:dyDescent="0.25">
      <c r="A140"/>
      <c r="B140"/>
      <c r="C140"/>
    </row>
    <row r="141" spans="1:3" x14ac:dyDescent="0.25">
      <c r="A141"/>
      <c r="B141"/>
      <c r="C141"/>
    </row>
    <row r="142" spans="1:3" x14ac:dyDescent="0.25">
      <c r="A142"/>
      <c r="B142"/>
      <c r="C142"/>
    </row>
    <row r="143" spans="1:3" x14ac:dyDescent="0.25">
      <c r="A143"/>
      <c r="B143"/>
      <c r="C143"/>
    </row>
    <row r="144" spans="1:3" x14ac:dyDescent="0.25">
      <c r="A144"/>
      <c r="B144"/>
      <c r="C144"/>
    </row>
    <row r="145" spans="1:3" x14ac:dyDescent="0.25">
      <c r="A145"/>
      <c r="B145"/>
      <c r="C145"/>
    </row>
    <row r="146" spans="1:3" x14ac:dyDescent="0.25">
      <c r="A146"/>
      <c r="B146"/>
      <c r="C146"/>
    </row>
    <row r="147" spans="1:3" x14ac:dyDescent="0.25">
      <c r="A147"/>
      <c r="B147"/>
      <c r="C147"/>
    </row>
    <row r="148" spans="1:3" x14ac:dyDescent="0.25">
      <c r="A148"/>
      <c r="B148"/>
      <c r="C148"/>
    </row>
    <row r="149" spans="1:3" x14ac:dyDescent="0.25">
      <c r="A149"/>
      <c r="B149"/>
      <c r="C149"/>
    </row>
    <row r="150" spans="1:3" x14ac:dyDescent="0.25">
      <c r="A150"/>
      <c r="B150"/>
      <c r="C150"/>
    </row>
    <row r="151" spans="1:3" x14ac:dyDescent="0.25">
      <c r="A151"/>
      <c r="B151"/>
      <c r="C151"/>
    </row>
    <row r="152" spans="1:3" x14ac:dyDescent="0.25">
      <c r="A152"/>
      <c r="B152"/>
      <c r="C152"/>
    </row>
    <row r="153" spans="1:3" x14ac:dyDescent="0.25">
      <c r="A153"/>
      <c r="B153"/>
      <c r="C153"/>
    </row>
    <row r="154" spans="1:3" x14ac:dyDescent="0.25">
      <c r="A154"/>
      <c r="B154"/>
      <c r="C154"/>
    </row>
    <row r="155" spans="1:3" x14ac:dyDescent="0.25">
      <c r="A155"/>
      <c r="B155"/>
      <c r="C155"/>
    </row>
    <row r="156" spans="1:3" x14ac:dyDescent="0.25">
      <c r="A156"/>
      <c r="B156"/>
      <c r="C156"/>
    </row>
    <row r="157" spans="1:3" x14ac:dyDescent="0.25">
      <c r="A157"/>
      <c r="B157"/>
      <c r="C157"/>
    </row>
    <row r="158" spans="1:3" x14ac:dyDescent="0.25">
      <c r="A158"/>
      <c r="B158"/>
      <c r="C158"/>
    </row>
    <row r="159" spans="1:3" x14ac:dyDescent="0.25">
      <c r="A159"/>
      <c r="B159"/>
      <c r="C159"/>
    </row>
    <row r="160" spans="1:3" x14ac:dyDescent="0.25">
      <c r="A160"/>
      <c r="B160"/>
      <c r="C160"/>
    </row>
    <row r="161" spans="1:3" x14ac:dyDescent="0.25">
      <c r="A161"/>
      <c r="B161"/>
      <c r="C161"/>
    </row>
    <row r="162" spans="1:3" x14ac:dyDescent="0.25">
      <c r="A162"/>
      <c r="B162"/>
      <c r="C162"/>
    </row>
    <row r="163" spans="1:3" x14ac:dyDescent="0.25">
      <c r="A163"/>
      <c r="B163"/>
      <c r="C163"/>
    </row>
    <row r="164" spans="1:3" x14ac:dyDescent="0.25">
      <c r="A164"/>
      <c r="B164"/>
      <c r="C164"/>
    </row>
    <row r="165" spans="1:3" x14ac:dyDescent="0.25">
      <c r="A165"/>
      <c r="B165"/>
      <c r="C165"/>
    </row>
    <row r="166" spans="1:3" x14ac:dyDescent="0.25">
      <c r="A166"/>
      <c r="B166"/>
      <c r="C166"/>
    </row>
    <row r="167" spans="1:3" x14ac:dyDescent="0.25">
      <c r="A167"/>
      <c r="B167"/>
      <c r="C167"/>
    </row>
    <row r="168" spans="1:3" x14ac:dyDescent="0.25">
      <c r="A168"/>
      <c r="B168"/>
      <c r="C168"/>
    </row>
    <row r="169" spans="1:3" x14ac:dyDescent="0.25">
      <c r="A169"/>
      <c r="B169"/>
      <c r="C169"/>
    </row>
    <row r="170" spans="1:3" x14ac:dyDescent="0.25">
      <c r="A170"/>
      <c r="B170"/>
      <c r="C170"/>
    </row>
    <row r="171" spans="1:3" x14ac:dyDescent="0.25">
      <c r="A171"/>
      <c r="B171"/>
      <c r="C171"/>
    </row>
    <row r="172" spans="1:3" x14ac:dyDescent="0.25">
      <c r="A172"/>
      <c r="B172"/>
      <c r="C172"/>
    </row>
    <row r="173" spans="1:3" x14ac:dyDescent="0.25">
      <c r="A173"/>
      <c r="B173"/>
      <c r="C173"/>
    </row>
    <row r="174" spans="1:3" x14ac:dyDescent="0.25">
      <c r="A174"/>
      <c r="B174"/>
      <c r="C174"/>
    </row>
    <row r="175" spans="1:3" x14ac:dyDescent="0.25">
      <c r="A175"/>
      <c r="B175"/>
      <c r="C175"/>
    </row>
    <row r="176" spans="1:3" x14ac:dyDescent="0.25">
      <c r="A176"/>
      <c r="B176"/>
      <c r="C176"/>
    </row>
    <row r="177" spans="1:3" x14ac:dyDescent="0.25">
      <c r="A177"/>
      <c r="B177"/>
      <c r="C177"/>
    </row>
    <row r="178" spans="1:3" x14ac:dyDescent="0.25">
      <c r="A178"/>
      <c r="B178"/>
      <c r="C178"/>
    </row>
    <row r="179" spans="1:3" x14ac:dyDescent="0.25">
      <c r="A179"/>
      <c r="B179"/>
      <c r="C179"/>
    </row>
    <row r="180" spans="1:3" x14ac:dyDescent="0.25">
      <c r="A180"/>
      <c r="B180"/>
      <c r="C180"/>
    </row>
    <row r="181" spans="1:3" x14ac:dyDescent="0.25">
      <c r="A181"/>
      <c r="B181"/>
      <c r="C181"/>
    </row>
    <row r="182" spans="1:3" x14ac:dyDescent="0.25">
      <c r="A182"/>
      <c r="B182"/>
      <c r="C182"/>
    </row>
    <row r="183" spans="1:3" x14ac:dyDescent="0.25">
      <c r="A183"/>
      <c r="B183"/>
      <c r="C183"/>
    </row>
    <row r="184" spans="1:3" x14ac:dyDescent="0.25">
      <c r="A184"/>
      <c r="B184"/>
      <c r="C184"/>
    </row>
    <row r="185" spans="1:3" x14ac:dyDescent="0.25">
      <c r="A185"/>
      <c r="B185"/>
      <c r="C185"/>
    </row>
    <row r="186" spans="1:3" x14ac:dyDescent="0.25">
      <c r="A186"/>
      <c r="B186"/>
      <c r="C186"/>
    </row>
    <row r="187" spans="1:3" x14ac:dyDescent="0.25">
      <c r="A187"/>
      <c r="B187"/>
      <c r="C187"/>
    </row>
    <row r="188" spans="1:3" x14ac:dyDescent="0.25">
      <c r="A188"/>
      <c r="B188"/>
      <c r="C188"/>
    </row>
    <row r="189" spans="1:3" x14ac:dyDescent="0.25">
      <c r="A189"/>
      <c r="B189"/>
      <c r="C189"/>
    </row>
    <row r="190" spans="1:3" x14ac:dyDescent="0.25">
      <c r="A190"/>
      <c r="B190"/>
      <c r="C190"/>
    </row>
    <row r="191" spans="1:3" x14ac:dyDescent="0.25">
      <c r="A191"/>
      <c r="B191"/>
      <c r="C191"/>
    </row>
    <row r="192" spans="1:3" x14ac:dyDescent="0.25">
      <c r="A192"/>
      <c r="B192"/>
      <c r="C192"/>
    </row>
    <row r="193" spans="1:3" x14ac:dyDescent="0.25">
      <c r="A193"/>
      <c r="B193"/>
      <c r="C193"/>
    </row>
    <row r="194" spans="1:3" x14ac:dyDescent="0.25">
      <c r="A194"/>
      <c r="B194"/>
      <c r="C194"/>
    </row>
    <row r="195" spans="1:3" x14ac:dyDescent="0.25">
      <c r="A195"/>
      <c r="B195"/>
      <c r="C195"/>
    </row>
    <row r="196" spans="1:3" x14ac:dyDescent="0.25">
      <c r="A196"/>
      <c r="B196"/>
      <c r="C196"/>
    </row>
    <row r="197" spans="1:3" x14ac:dyDescent="0.25">
      <c r="A197"/>
      <c r="B197"/>
      <c r="C197"/>
    </row>
    <row r="198" spans="1:3" x14ac:dyDescent="0.25">
      <c r="A198"/>
      <c r="B198"/>
      <c r="C198"/>
    </row>
    <row r="199" spans="1:3" x14ac:dyDescent="0.25">
      <c r="A199"/>
      <c r="B199"/>
      <c r="C199"/>
    </row>
    <row r="200" spans="1:3" x14ac:dyDescent="0.25">
      <c r="A200"/>
      <c r="B200"/>
      <c r="C200"/>
    </row>
    <row r="201" spans="1:3" x14ac:dyDescent="0.25">
      <c r="A201"/>
      <c r="B201"/>
      <c r="C201"/>
    </row>
    <row r="202" spans="1:3" x14ac:dyDescent="0.25">
      <c r="A202"/>
      <c r="B202"/>
      <c r="C202"/>
    </row>
    <row r="203" spans="1:3" x14ac:dyDescent="0.25">
      <c r="A203"/>
      <c r="B203"/>
      <c r="C203"/>
    </row>
    <row r="204" spans="1:3" x14ac:dyDescent="0.25">
      <c r="A204"/>
      <c r="B204"/>
      <c r="C204"/>
    </row>
    <row r="205" spans="1:3" x14ac:dyDescent="0.25">
      <c r="A205"/>
      <c r="B205"/>
      <c r="C205"/>
    </row>
    <row r="206" spans="1:3" x14ac:dyDescent="0.25">
      <c r="A206"/>
      <c r="B206"/>
      <c r="C206"/>
    </row>
    <row r="207" spans="1:3" x14ac:dyDescent="0.25">
      <c r="A207"/>
      <c r="B207"/>
      <c r="C207"/>
    </row>
    <row r="208" spans="1:3" x14ac:dyDescent="0.25">
      <c r="A208"/>
      <c r="B208"/>
      <c r="C208"/>
    </row>
    <row r="209" spans="1:3" x14ac:dyDescent="0.25">
      <c r="A209"/>
      <c r="B209"/>
      <c r="C209"/>
    </row>
    <row r="210" spans="1:3" x14ac:dyDescent="0.25">
      <c r="A210"/>
      <c r="B210"/>
      <c r="C210"/>
    </row>
    <row r="211" spans="1:3" x14ac:dyDescent="0.25">
      <c r="A211"/>
      <c r="B211"/>
      <c r="C211"/>
    </row>
    <row r="212" spans="1:3" x14ac:dyDescent="0.25">
      <c r="A212"/>
      <c r="B212"/>
      <c r="C212"/>
    </row>
    <row r="213" spans="1:3" x14ac:dyDescent="0.25">
      <c r="A213"/>
      <c r="B213"/>
      <c r="C213"/>
    </row>
    <row r="214" spans="1:3" x14ac:dyDescent="0.25">
      <c r="A214"/>
      <c r="B214"/>
      <c r="C214"/>
    </row>
    <row r="215" spans="1:3" x14ac:dyDescent="0.25">
      <c r="A215"/>
      <c r="B215"/>
      <c r="C215"/>
    </row>
    <row r="216" spans="1:3" x14ac:dyDescent="0.25">
      <c r="A216"/>
      <c r="B216"/>
      <c r="C216"/>
    </row>
    <row r="217" spans="1:3" x14ac:dyDescent="0.25">
      <c r="A217"/>
      <c r="B217"/>
      <c r="C217"/>
    </row>
    <row r="218" spans="1:3" x14ac:dyDescent="0.25">
      <c r="A218"/>
      <c r="B218"/>
      <c r="C218"/>
    </row>
    <row r="219" spans="1:3" x14ac:dyDescent="0.25">
      <c r="A219"/>
      <c r="B219"/>
      <c r="C219"/>
    </row>
    <row r="220" spans="1:3" x14ac:dyDescent="0.25">
      <c r="A220"/>
      <c r="B220"/>
      <c r="C220"/>
    </row>
    <row r="221" spans="1:3" x14ac:dyDescent="0.25">
      <c r="A221"/>
      <c r="B221"/>
      <c r="C221"/>
    </row>
    <row r="222" spans="1:3" x14ac:dyDescent="0.25">
      <c r="A222"/>
      <c r="B222"/>
      <c r="C222"/>
    </row>
    <row r="223" spans="1:3" x14ac:dyDescent="0.25">
      <c r="A223"/>
      <c r="B223"/>
      <c r="C223"/>
    </row>
    <row r="224" spans="1:3" x14ac:dyDescent="0.25">
      <c r="A224"/>
      <c r="B224"/>
      <c r="C224"/>
    </row>
    <row r="225" spans="1:3" x14ac:dyDescent="0.25">
      <c r="A225"/>
      <c r="B225"/>
      <c r="C225"/>
    </row>
    <row r="226" spans="1:3" x14ac:dyDescent="0.25">
      <c r="A226"/>
      <c r="B226"/>
      <c r="C226"/>
    </row>
    <row r="227" spans="1:3" x14ac:dyDescent="0.25">
      <c r="A227"/>
      <c r="B227"/>
      <c r="C227"/>
    </row>
    <row r="228" spans="1:3" x14ac:dyDescent="0.25">
      <c r="A228"/>
      <c r="B228"/>
      <c r="C228"/>
    </row>
    <row r="229" spans="1:3" x14ac:dyDescent="0.25">
      <c r="A229"/>
      <c r="B229"/>
      <c r="C229"/>
    </row>
    <row r="230" spans="1:3" x14ac:dyDescent="0.25">
      <c r="A230"/>
      <c r="B230"/>
      <c r="C230"/>
    </row>
    <row r="231" spans="1:3" x14ac:dyDescent="0.25">
      <c r="A231"/>
      <c r="B231"/>
      <c r="C231"/>
    </row>
    <row r="232" spans="1:3" x14ac:dyDescent="0.25">
      <c r="A232"/>
      <c r="B232"/>
      <c r="C232"/>
    </row>
    <row r="233" spans="1:3" x14ac:dyDescent="0.25">
      <c r="A233"/>
      <c r="B233"/>
      <c r="C233"/>
    </row>
    <row r="234" spans="1:3" x14ac:dyDescent="0.25">
      <c r="A234"/>
      <c r="B234"/>
      <c r="C234"/>
    </row>
    <row r="235" spans="1:3" x14ac:dyDescent="0.25">
      <c r="A235"/>
      <c r="B235"/>
      <c r="C235"/>
    </row>
    <row r="236" spans="1:3" x14ac:dyDescent="0.25">
      <c r="A236"/>
      <c r="B236"/>
      <c r="C236"/>
    </row>
    <row r="237" spans="1:3" x14ac:dyDescent="0.25">
      <c r="A237"/>
      <c r="B237"/>
      <c r="C237"/>
    </row>
    <row r="238" spans="1:3" x14ac:dyDescent="0.25">
      <c r="A238"/>
      <c r="B238"/>
      <c r="C238"/>
    </row>
    <row r="239" spans="1:3" x14ac:dyDescent="0.25">
      <c r="A239"/>
      <c r="B239"/>
      <c r="C239"/>
    </row>
    <row r="240" spans="1:3" x14ac:dyDescent="0.25">
      <c r="A240"/>
      <c r="B240"/>
      <c r="C240"/>
    </row>
    <row r="241" spans="1:3" x14ac:dyDescent="0.25">
      <c r="A241"/>
      <c r="B241"/>
      <c r="C241"/>
    </row>
    <row r="242" spans="1:3" x14ac:dyDescent="0.25">
      <c r="A242"/>
      <c r="B242"/>
      <c r="C242"/>
    </row>
    <row r="243" spans="1:3" x14ac:dyDescent="0.25">
      <c r="A243"/>
      <c r="B243"/>
      <c r="C243"/>
    </row>
    <row r="244" spans="1:3" x14ac:dyDescent="0.25">
      <c r="A244"/>
      <c r="B244"/>
      <c r="C244"/>
    </row>
    <row r="245" spans="1:3" x14ac:dyDescent="0.25">
      <c r="A245"/>
      <c r="B245"/>
      <c r="C245"/>
    </row>
    <row r="246" spans="1:3" x14ac:dyDescent="0.25">
      <c r="A246"/>
      <c r="B246"/>
      <c r="C246"/>
    </row>
    <row r="247" spans="1:3" x14ac:dyDescent="0.25">
      <c r="A247"/>
      <c r="B247"/>
      <c r="C247"/>
    </row>
    <row r="248" spans="1:3" x14ac:dyDescent="0.25">
      <c r="A248"/>
      <c r="B248"/>
      <c r="C248"/>
    </row>
    <row r="249" spans="1:3" x14ac:dyDescent="0.25">
      <c r="A249"/>
      <c r="B249"/>
      <c r="C249"/>
    </row>
    <row r="250" spans="1:3" x14ac:dyDescent="0.25">
      <c r="A250"/>
      <c r="B250"/>
      <c r="C250"/>
    </row>
    <row r="251" spans="1:3" x14ac:dyDescent="0.25">
      <c r="A251"/>
      <c r="B251"/>
      <c r="C251"/>
    </row>
    <row r="252" spans="1:3" x14ac:dyDescent="0.25">
      <c r="A252"/>
      <c r="B252"/>
      <c r="C252"/>
    </row>
    <row r="253" spans="1:3" x14ac:dyDescent="0.25">
      <c r="A253"/>
      <c r="B253"/>
      <c r="C253"/>
    </row>
    <row r="254" spans="1:3" x14ac:dyDescent="0.25">
      <c r="A254"/>
      <c r="B254"/>
      <c r="C254"/>
    </row>
    <row r="255" spans="1:3" x14ac:dyDescent="0.25">
      <c r="A255"/>
      <c r="B255"/>
      <c r="C255"/>
    </row>
    <row r="256" spans="1:3" x14ac:dyDescent="0.25">
      <c r="A256"/>
      <c r="B256"/>
      <c r="C256"/>
    </row>
    <row r="257" spans="1:3" x14ac:dyDescent="0.25">
      <c r="A257"/>
      <c r="B257"/>
      <c r="C257"/>
    </row>
    <row r="258" spans="1:3" x14ac:dyDescent="0.25">
      <c r="A258"/>
      <c r="B258"/>
      <c r="C258"/>
    </row>
    <row r="259" spans="1:3" x14ac:dyDescent="0.25">
      <c r="A259"/>
      <c r="B259"/>
      <c r="C259"/>
    </row>
    <row r="260" spans="1:3" x14ac:dyDescent="0.25">
      <c r="A260"/>
      <c r="B260"/>
      <c r="C260"/>
    </row>
    <row r="261" spans="1:3" x14ac:dyDescent="0.25">
      <c r="A261"/>
      <c r="B261"/>
      <c r="C261"/>
    </row>
    <row r="262" spans="1:3" x14ac:dyDescent="0.25">
      <c r="A262"/>
      <c r="B262"/>
      <c r="C262"/>
    </row>
    <row r="263" spans="1:3" x14ac:dyDescent="0.25">
      <c r="A263"/>
      <c r="B263"/>
      <c r="C263"/>
    </row>
    <row r="264" spans="1:3" x14ac:dyDescent="0.25">
      <c r="A264"/>
      <c r="B264"/>
      <c r="C264"/>
    </row>
    <row r="265" spans="1:3" x14ac:dyDescent="0.25">
      <c r="A265"/>
      <c r="B265"/>
      <c r="C265"/>
    </row>
    <row r="266" spans="1:3" x14ac:dyDescent="0.25">
      <c r="A266"/>
      <c r="B266"/>
      <c r="C266"/>
    </row>
    <row r="267" spans="1:3" x14ac:dyDescent="0.25">
      <c r="A267"/>
      <c r="B267"/>
      <c r="C267"/>
    </row>
    <row r="268" spans="1:3" x14ac:dyDescent="0.25">
      <c r="A268"/>
      <c r="B268"/>
      <c r="C268"/>
    </row>
    <row r="269" spans="1:3" x14ac:dyDescent="0.25">
      <c r="A269"/>
      <c r="B269"/>
      <c r="C269"/>
    </row>
    <row r="270" spans="1:3" x14ac:dyDescent="0.25">
      <c r="A270"/>
      <c r="B270"/>
      <c r="C270"/>
    </row>
    <row r="271" spans="1:3" x14ac:dyDescent="0.25">
      <c r="A271"/>
      <c r="B271"/>
      <c r="C271"/>
    </row>
    <row r="272" spans="1:3" x14ac:dyDescent="0.25">
      <c r="A272"/>
      <c r="B272"/>
      <c r="C272"/>
    </row>
    <row r="273" spans="1:3" x14ac:dyDescent="0.25">
      <c r="A273"/>
      <c r="B273"/>
      <c r="C273"/>
    </row>
    <row r="274" spans="1:3" x14ac:dyDescent="0.25">
      <c r="A274"/>
      <c r="B274"/>
      <c r="C274"/>
    </row>
    <row r="275" spans="1:3" x14ac:dyDescent="0.25">
      <c r="A275"/>
      <c r="B275"/>
      <c r="C275"/>
    </row>
    <row r="276" spans="1:3" x14ac:dyDescent="0.25">
      <c r="A276"/>
      <c r="B276"/>
      <c r="C276"/>
    </row>
    <row r="277" spans="1:3" x14ac:dyDescent="0.25">
      <c r="A277"/>
      <c r="B277"/>
      <c r="C277"/>
    </row>
    <row r="278" spans="1:3" x14ac:dyDescent="0.25">
      <c r="A278"/>
      <c r="B278"/>
      <c r="C278"/>
    </row>
    <row r="279" spans="1:3" x14ac:dyDescent="0.25">
      <c r="A279"/>
      <c r="B279"/>
      <c r="C279"/>
    </row>
    <row r="280" spans="1:3" x14ac:dyDescent="0.25">
      <c r="A280"/>
      <c r="B280"/>
      <c r="C280"/>
    </row>
    <row r="281" spans="1:3" x14ac:dyDescent="0.25">
      <c r="A281"/>
      <c r="B281"/>
      <c r="C281"/>
    </row>
    <row r="282" spans="1:3" x14ac:dyDescent="0.25">
      <c r="A282"/>
      <c r="B282"/>
      <c r="C282"/>
    </row>
    <row r="283" spans="1:3" x14ac:dyDescent="0.25">
      <c r="A283"/>
      <c r="B283"/>
      <c r="C283"/>
    </row>
    <row r="284" spans="1:3" x14ac:dyDescent="0.25">
      <c r="A284"/>
      <c r="B284"/>
      <c r="C284"/>
    </row>
    <row r="285" spans="1:3" x14ac:dyDescent="0.25">
      <c r="A285"/>
      <c r="B285"/>
      <c r="C285"/>
    </row>
    <row r="286" spans="1:3" x14ac:dyDescent="0.25">
      <c r="A286"/>
      <c r="B286"/>
      <c r="C286"/>
    </row>
    <row r="287" spans="1:3" x14ac:dyDescent="0.25">
      <c r="A287"/>
      <c r="B287"/>
      <c r="C287"/>
    </row>
    <row r="288" spans="1:3" x14ac:dyDescent="0.25">
      <c r="A288"/>
      <c r="B288"/>
      <c r="C288"/>
    </row>
    <row r="289" spans="1:3" x14ac:dyDescent="0.25">
      <c r="A289"/>
      <c r="B289"/>
      <c r="C289"/>
    </row>
    <row r="290" spans="1:3" x14ac:dyDescent="0.25">
      <c r="A290"/>
      <c r="B290"/>
      <c r="C290"/>
    </row>
    <row r="291" spans="1:3" x14ac:dyDescent="0.25">
      <c r="A291"/>
      <c r="B291"/>
      <c r="C291"/>
    </row>
    <row r="292" spans="1:3" x14ac:dyDescent="0.25">
      <c r="A292"/>
      <c r="B292"/>
      <c r="C292"/>
    </row>
    <row r="293" spans="1:3" x14ac:dyDescent="0.25">
      <c r="A293"/>
      <c r="B293"/>
      <c r="C293"/>
    </row>
    <row r="294" spans="1:3" x14ac:dyDescent="0.25">
      <c r="A294"/>
      <c r="B294"/>
      <c r="C294"/>
    </row>
    <row r="295" spans="1:3" x14ac:dyDescent="0.25">
      <c r="A295"/>
      <c r="B295"/>
      <c r="C295"/>
    </row>
    <row r="296" spans="1:3" x14ac:dyDescent="0.25">
      <c r="A296"/>
      <c r="B296"/>
      <c r="C296"/>
    </row>
    <row r="297" spans="1:3" x14ac:dyDescent="0.25">
      <c r="A297"/>
      <c r="B297"/>
      <c r="C297"/>
    </row>
    <row r="298" spans="1:3" x14ac:dyDescent="0.25">
      <c r="A298"/>
      <c r="B298"/>
      <c r="C298"/>
    </row>
    <row r="299" spans="1:3" x14ac:dyDescent="0.25">
      <c r="A299"/>
      <c r="B299"/>
      <c r="C299"/>
    </row>
    <row r="300" spans="1:3" x14ac:dyDescent="0.25">
      <c r="A300"/>
      <c r="B300"/>
      <c r="C300"/>
    </row>
    <row r="301" spans="1:3" x14ac:dyDescent="0.25">
      <c r="A301"/>
      <c r="B301"/>
      <c r="C301"/>
    </row>
    <row r="302" spans="1:3" x14ac:dyDescent="0.25">
      <c r="A302"/>
      <c r="B302"/>
      <c r="C302"/>
    </row>
    <row r="303" spans="1:3" x14ac:dyDescent="0.25">
      <c r="A303"/>
      <c r="B303"/>
      <c r="C303"/>
    </row>
    <row r="304" spans="1:3" x14ac:dyDescent="0.25">
      <c r="A304"/>
      <c r="B304"/>
      <c r="C304"/>
    </row>
    <row r="305" spans="1:3" x14ac:dyDescent="0.25">
      <c r="A305"/>
      <c r="B305"/>
      <c r="C305"/>
    </row>
    <row r="306" spans="1:3" x14ac:dyDescent="0.25">
      <c r="A306"/>
      <c r="B306"/>
      <c r="C306"/>
    </row>
    <row r="307" spans="1:3" x14ac:dyDescent="0.25">
      <c r="A307"/>
      <c r="B307"/>
      <c r="C307"/>
    </row>
    <row r="308" spans="1:3" x14ac:dyDescent="0.25">
      <c r="A308"/>
      <c r="B308"/>
      <c r="C308"/>
    </row>
    <row r="309" spans="1:3" x14ac:dyDescent="0.25">
      <c r="A309"/>
      <c r="B309"/>
      <c r="C309"/>
    </row>
    <row r="310" spans="1:3" x14ac:dyDescent="0.25">
      <c r="A310"/>
      <c r="B310"/>
      <c r="C310"/>
    </row>
    <row r="311" spans="1:3" x14ac:dyDescent="0.25">
      <c r="A311"/>
      <c r="B311"/>
      <c r="C311"/>
    </row>
    <row r="312" spans="1:3" x14ac:dyDescent="0.25">
      <c r="A312"/>
      <c r="B312"/>
      <c r="C312"/>
    </row>
    <row r="313" spans="1:3" x14ac:dyDescent="0.25">
      <c r="A313"/>
      <c r="B313"/>
      <c r="C313"/>
    </row>
    <row r="314" spans="1:3" x14ac:dyDescent="0.25">
      <c r="A314"/>
      <c r="B314"/>
      <c r="C314"/>
    </row>
    <row r="315" spans="1:3" x14ac:dyDescent="0.25">
      <c r="A315"/>
      <c r="B315"/>
      <c r="C315"/>
    </row>
    <row r="316" spans="1:3" x14ac:dyDescent="0.25">
      <c r="A316"/>
      <c r="B316"/>
      <c r="C316"/>
    </row>
    <row r="317" spans="1:3" x14ac:dyDescent="0.25">
      <c r="A317"/>
      <c r="B317"/>
      <c r="C317"/>
    </row>
    <row r="318" spans="1:3" x14ac:dyDescent="0.25">
      <c r="A318"/>
      <c r="B318"/>
      <c r="C318"/>
    </row>
    <row r="319" spans="1:3" x14ac:dyDescent="0.25">
      <c r="A319"/>
      <c r="B319"/>
      <c r="C319"/>
    </row>
    <row r="320" spans="1:3" x14ac:dyDescent="0.25">
      <c r="A320"/>
      <c r="B320"/>
      <c r="C320"/>
    </row>
    <row r="321" spans="1:3" x14ac:dyDescent="0.25">
      <c r="A321"/>
      <c r="B321"/>
      <c r="C321"/>
    </row>
    <row r="322" spans="1:3" x14ac:dyDescent="0.25">
      <c r="A322"/>
      <c r="B322"/>
      <c r="C322"/>
    </row>
    <row r="323" spans="1:3" x14ac:dyDescent="0.25">
      <c r="A323"/>
      <c r="B323"/>
      <c r="C323"/>
    </row>
    <row r="324" spans="1:3" x14ac:dyDescent="0.25">
      <c r="A324"/>
      <c r="B324"/>
      <c r="C324"/>
    </row>
    <row r="325" spans="1:3" x14ac:dyDescent="0.25">
      <c r="A325"/>
      <c r="B325"/>
      <c r="C325"/>
    </row>
    <row r="326" spans="1:3" x14ac:dyDescent="0.25">
      <c r="A326"/>
      <c r="B326"/>
      <c r="C326"/>
    </row>
    <row r="327" spans="1:3" x14ac:dyDescent="0.25">
      <c r="A327"/>
      <c r="B327"/>
      <c r="C327"/>
    </row>
    <row r="328" spans="1:3" x14ac:dyDescent="0.25">
      <c r="A328"/>
      <c r="B328"/>
      <c r="C328"/>
    </row>
    <row r="329" spans="1:3" x14ac:dyDescent="0.25">
      <c r="A329"/>
      <c r="B329"/>
      <c r="C329"/>
    </row>
    <row r="330" spans="1:3" x14ac:dyDescent="0.25">
      <c r="A330"/>
      <c r="B330"/>
      <c r="C330"/>
    </row>
    <row r="331" spans="1:3" x14ac:dyDescent="0.25">
      <c r="A331"/>
      <c r="B331"/>
      <c r="C331"/>
    </row>
    <row r="332" spans="1:3" x14ac:dyDescent="0.25">
      <c r="A332"/>
      <c r="B332"/>
      <c r="C332"/>
    </row>
    <row r="333" spans="1:3" x14ac:dyDescent="0.25">
      <c r="A333"/>
      <c r="B333"/>
      <c r="C333"/>
    </row>
    <row r="334" spans="1:3" x14ac:dyDescent="0.25">
      <c r="A334"/>
      <c r="B334"/>
      <c r="C334"/>
    </row>
    <row r="335" spans="1:3" x14ac:dyDescent="0.25">
      <c r="A335"/>
      <c r="B335"/>
      <c r="C335"/>
    </row>
    <row r="336" spans="1:3" x14ac:dyDescent="0.25">
      <c r="A336"/>
      <c r="B336"/>
      <c r="C336"/>
    </row>
    <row r="337" spans="1:3" x14ac:dyDescent="0.25">
      <c r="A337"/>
      <c r="B337"/>
      <c r="C337"/>
    </row>
    <row r="338" spans="1:3" x14ac:dyDescent="0.25">
      <c r="A338"/>
      <c r="B338"/>
      <c r="C338"/>
    </row>
    <row r="339" spans="1:3" x14ac:dyDescent="0.25">
      <c r="A339"/>
      <c r="B339"/>
      <c r="C339"/>
    </row>
    <row r="340" spans="1:3" x14ac:dyDescent="0.25">
      <c r="A340"/>
      <c r="B340"/>
      <c r="C340"/>
    </row>
    <row r="341" spans="1:3" x14ac:dyDescent="0.25">
      <c r="A341"/>
      <c r="B341"/>
      <c r="C341"/>
    </row>
    <row r="342" spans="1:3" x14ac:dyDescent="0.25">
      <c r="A342"/>
      <c r="B342"/>
      <c r="C342"/>
    </row>
    <row r="343" spans="1:3" x14ac:dyDescent="0.25">
      <c r="A343"/>
      <c r="B343"/>
      <c r="C343"/>
    </row>
    <row r="344" spans="1:3" x14ac:dyDescent="0.25">
      <c r="A344"/>
      <c r="B344"/>
      <c r="C344"/>
    </row>
    <row r="345" spans="1:3" x14ac:dyDescent="0.25">
      <c r="A345"/>
      <c r="B345"/>
      <c r="C345"/>
    </row>
    <row r="346" spans="1:3" x14ac:dyDescent="0.25">
      <c r="A346"/>
      <c r="B346"/>
      <c r="C346"/>
    </row>
    <row r="347" spans="1:3" x14ac:dyDescent="0.25">
      <c r="A347"/>
      <c r="B347"/>
      <c r="C347"/>
    </row>
    <row r="348" spans="1:3" x14ac:dyDescent="0.25">
      <c r="A348"/>
      <c r="B348"/>
      <c r="C348"/>
    </row>
    <row r="349" spans="1:3" x14ac:dyDescent="0.25">
      <c r="A349"/>
      <c r="B349"/>
      <c r="C349"/>
    </row>
    <row r="350" spans="1:3" x14ac:dyDescent="0.25">
      <c r="A350"/>
      <c r="B350"/>
      <c r="C350"/>
    </row>
    <row r="351" spans="1:3" x14ac:dyDescent="0.25">
      <c r="A351"/>
      <c r="B351"/>
      <c r="C351"/>
    </row>
    <row r="352" spans="1:3" x14ac:dyDescent="0.25">
      <c r="A352"/>
      <c r="B352"/>
      <c r="C352"/>
    </row>
    <row r="353" spans="1:3" x14ac:dyDescent="0.25">
      <c r="A353"/>
      <c r="B353"/>
      <c r="C353"/>
    </row>
    <row r="354" spans="1:3" x14ac:dyDescent="0.25">
      <c r="A354"/>
      <c r="B354"/>
      <c r="C354"/>
    </row>
    <row r="355" spans="1:3" x14ac:dyDescent="0.25">
      <c r="A355"/>
      <c r="B355"/>
      <c r="C355"/>
    </row>
    <row r="356" spans="1:3" x14ac:dyDescent="0.25">
      <c r="A356"/>
      <c r="B356"/>
      <c r="C356"/>
    </row>
    <row r="357" spans="1:3" x14ac:dyDescent="0.25">
      <c r="A357"/>
      <c r="B357"/>
      <c r="C357"/>
    </row>
    <row r="358" spans="1:3" x14ac:dyDescent="0.25">
      <c r="A358"/>
      <c r="B358"/>
      <c r="C358"/>
    </row>
    <row r="359" spans="1:3" x14ac:dyDescent="0.25">
      <c r="A359"/>
      <c r="B359"/>
      <c r="C359"/>
    </row>
    <row r="360" spans="1:3" x14ac:dyDescent="0.25">
      <c r="A360"/>
      <c r="B360"/>
      <c r="C360"/>
    </row>
    <row r="361" spans="1:3" x14ac:dyDescent="0.25">
      <c r="A361"/>
      <c r="B361"/>
      <c r="C361"/>
    </row>
    <row r="362" spans="1:3" x14ac:dyDescent="0.25">
      <c r="A362"/>
      <c r="B362"/>
      <c r="C362"/>
    </row>
    <row r="363" spans="1:3" x14ac:dyDescent="0.25">
      <c r="A363"/>
      <c r="B363"/>
      <c r="C363"/>
    </row>
    <row r="364" spans="1:3" x14ac:dyDescent="0.25">
      <c r="A364"/>
      <c r="B364"/>
      <c r="C364"/>
    </row>
    <row r="365" spans="1:3" x14ac:dyDescent="0.25">
      <c r="A365"/>
      <c r="B365"/>
      <c r="C365"/>
    </row>
    <row r="366" spans="1:3" x14ac:dyDescent="0.25">
      <c r="A366"/>
      <c r="B366"/>
      <c r="C366"/>
    </row>
    <row r="367" spans="1:3" x14ac:dyDescent="0.25">
      <c r="A367"/>
      <c r="B367"/>
      <c r="C367"/>
    </row>
    <row r="368" spans="1:3" x14ac:dyDescent="0.25">
      <c r="A368"/>
      <c r="B368"/>
      <c r="C368"/>
    </row>
    <row r="369" spans="1:3" x14ac:dyDescent="0.25">
      <c r="A369"/>
      <c r="B369"/>
      <c r="C369"/>
    </row>
    <row r="370" spans="1:3" x14ac:dyDescent="0.25">
      <c r="A370"/>
      <c r="B370"/>
      <c r="C370"/>
    </row>
    <row r="371" spans="1:3" x14ac:dyDescent="0.25">
      <c r="A371"/>
      <c r="B371"/>
      <c r="C371"/>
    </row>
    <row r="372" spans="1:3" x14ac:dyDescent="0.25">
      <c r="A372"/>
      <c r="B372"/>
      <c r="C372"/>
    </row>
    <row r="373" spans="1:3" x14ac:dyDescent="0.25">
      <c r="A373"/>
      <c r="B373"/>
      <c r="C373"/>
    </row>
    <row r="374" spans="1:3" x14ac:dyDescent="0.25">
      <c r="A374"/>
      <c r="B374"/>
      <c r="C374"/>
    </row>
    <row r="375" spans="1:3" x14ac:dyDescent="0.25">
      <c r="A375"/>
      <c r="B375"/>
      <c r="C375"/>
    </row>
    <row r="376" spans="1:3" x14ac:dyDescent="0.25">
      <c r="A376"/>
      <c r="B376"/>
      <c r="C376"/>
    </row>
    <row r="377" spans="1:3" x14ac:dyDescent="0.25">
      <c r="A377"/>
      <c r="B377"/>
      <c r="C377"/>
    </row>
    <row r="378" spans="1:3" x14ac:dyDescent="0.25">
      <c r="A378"/>
      <c r="B378"/>
      <c r="C378"/>
    </row>
    <row r="379" spans="1:3" x14ac:dyDescent="0.25">
      <c r="A379"/>
      <c r="B379"/>
      <c r="C379"/>
    </row>
    <row r="380" spans="1:3" x14ac:dyDescent="0.25">
      <c r="A380"/>
      <c r="B380"/>
      <c r="C380"/>
    </row>
    <row r="381" spans="1:3" x14ac:dyDescent="0.25">
      <c r="A381"/>
      <c r="B381"/>
      <c r="C381"/>
    </row>
    <row r="382" spans="1:3" x14ac:dyDescent="0.25">
      <c r="A382"/>
      <c r="B382"/>
      <c r="C382"/>
    </row>
    <row r="383" spans="1:3" x14ac:dyDescent="0.25">
      <c r="A383"/>
      <c r="B383"/>
      <c r="C383"/>
    </row>
    <row r="384" spans="1:3" x14ac:dyDescent="0.25">
      <c r="A384"/>
      <c r="B384"/>
      <c r="C384"/>
    </row>
    <row r="385" spans="1:3" x14ac:dyDescent="0.25">
      <c r="A385"/>
      <c r="B385"/>
      <c r="C385"/>
    </row>
    <row r="386" spans="1:3" x14ac:dyDescent="0.25">
      <c r="A386"/>
      <c r="B386"/>
      <c r="C386"/>
    </row>
    <row r="387" spans="1:3" x14ac:dyDescent="0.25">
      <c r="A387"/>
      <c r="B387"/>
      <c r="C387"/>
    </row>
    <row r="388" spans="1:3" x14ac:dyDescent="0.25">
      <c r="A388"/>
      <c r="B388"/>
      <c r="C388"/>
    </row>
    <row r="389" spans="1:3" x14ac:dyDescent="0.25">
      <c r="A389"/>
      <c r="B389"/>
      <c r="C389"/>
    </row>
    <row r="390" spans="1:3" x14ac:dyDescent="0.25">
      <c r="A390"/>
      <c r="B390"/>
      <c r="C390"/>
    </row>
    <row r="391" spans="1:3" x14ac:dyDescent="0.25">
      <c r="A391"/>
      <c r="B391"/>
      <c r="C391"/>
    </row>
    <row r="392" spans="1:3" x14ac:dyDescent="0.25">
      <c r="A392"/>
      <c r="B392"/>
      <c r="C392"/>
    </row>
    <row r="393" spans="1:3" x14ac:dyDescent="0.25">
      <c r="A393"/>
      <c r="B393"/>
      <c r="C393"/>
    </row>
    <row r="394" spans="1:3" x14ac:dyDescent="0.25">
      <c r="A394"/>
      <c r="B394"/>
      <c r="C394"/>
    </row>
    <row r="395" spans="1:3" x14ac:dyDescent="0.25">
      <c r="A395"/>
      <c r="B395"/>
      <c r="C395"/>
    </row>
    <row r="396" spans="1:3" x14ac:dyDescent="0.25">
      <c r="A396"/>
      <c r="B396"/>
      <c r="C396"/>
    </row>
    <row r="397" spans="1:3" x14ac:dyDescent="0.25">
      <c r="A397"/>
      <c r="B397"/>
      <c r="C397"/>
    </row>
    <row r="398" spans="1:3" x14ac:dyDescent="0.25">
      <c r="A398"/>
      <c r="B398"/>
      <c r="C398"/>
    </row>
    <row r="399" spans="1:3" x14ac:dyDescent="0.25">
      <c r="A399"/>
      <c r="B399"/>
      <c r="C399"/>
    </row>
    <row r="400" spans="1:3" x14ac:dyDescent="0.25">
      <c r="A400"/>
      <c r="B400"/>
      <c r="C400"/>
    </row>
    <row r="401" spans="1:3" x14ac:dyDescent="0.25">
      <c r="A401"/>
      <c r="B401"/>
      <c r="C401"/>
    </row>
    <row r="402" spans="1:3" x14ac:dyDescent="0.25">
      <c r="A402"/>
      <c r="B402"/>
      <c r="C402"/>
    </row>
    <row r="403" spans="1:3" x14ac:dyDescent="0.25">
      <c r="A403"/>
      <c r="B403"/>
      <c r="C403"/>
    </row>
    <row r="404" spans="1:3" x14ac:dyDescent="0.25">
      <c r="A404"/>
      <c r="B404"/>
      <c r="C404"/>
    </row>
    <row r="405" spans="1:3" x14ac:dyDescent="0.25">
      <c r="A405"/>
      <c r="B405"/>
      <c r="C405"/>
    </row>
    <row r="406" spans="1:3" x14ac:dyDescent="0.25">
      <c r="A406"/>
      <c r="B406"/>
      <c r="C406"/>
    </row>
    <row r="407" spans="1:3" x14ac:dyDescent="0.25">
      <c r="A407"/>
      <c r="B407"/>
      <c r="C407"/>
    </row>
    <row r="408" spans="1:3" x14ac:dyDescent="0.25">
      <c r="A408"/>
      <c r="B408"/>
      <c r="C408"/>
    </row>
    <row r="409" spans="1:3" x14ac:dyDescent="0.25">
      <c r="A409"/>
      <c r="B409"/>
      <c r="C409"/>
    </row>
    <row r="410" spans="1:3" x14ac:dyDescent="0.25">
      <c r="A410"/>
      <c r="B410"/>
      <c r="C410"/>
    </row>
    <row r="411" spans="1:3" x14ac:dyDescent="0.25">
      <c r="A411"/>
      <c r="B411"/>
      <c r="C411"/>
    </row>
    <row r="412" spans="1:3" x14ac:dyDescent="0.25">
      <c r="A412"/>
      <c r="B412"/>
      <c r="C412"/>
    </row>
    <row r="413" spans="1:3" x14ac:dyDescent="0.25">
      <c r="A413"/>
      <c r="B413"/>
      <c r="C413"/>
    </row>
    <row r="414" spans="1:3" x14ac:dyDescent="0.25">
      <c r="A414"/>
      <c r="B414"/>
      <c r="C414"/>
    </row>
    <row r="415" spans="1:3" x14ac:dyDescent="0.25">
      <c r="A415"/>
      <c r="B415"/>
      <c r="C415"/>
    </row>
    <row r="416" spans="1:3" x14ac:dyDescent="0.25">
      <c r="A416"/>
      <c r="B416"/>
      <c r="C416"/>
    </row>
    <row r="417" spans="1:3" x14ac:dyDescent="0.25">
      <c r="A417"/>
      <c r="B417"/>
      <c r="C417"/>
    </row>
    <row r="418" spans="1:3" x14ac:dyDescent="0.25">
      <c r="A418"/>
      <c r="B418"/>
      <c r="C418"/>
    </row>
    <row r="419" spans="1:3" x14ac:dyDescent="0.25">
      <c r="A419"/>
      <c r="B419"/>
      <c r="C419"/>
    </row>
    <row r="420" spans="1:3" x14ac:dyDescent="0.25">
      <c r="A420"/>
      <c r="B420"/>
      <c r="C420"/>
    </row>
    <row r="421" spans="1:3" x14ac:dyDescent="0.25">
      <c r="A421"/>
      <c r="B421"/>
      <c r="C421"/>
    </row>
    <row r="422" spans="1:3" x14ac:dyDescent="0.25">
      <c r="A422"/>
      <c r="B422"/>
      <c r="C422"/>
    </row>
    <row r="423" spans="1:3" x14ac:dyDescent="0.25">
      <c r="A423"/>
      <c r="B423"/>
      <c r="C423"/>
    </row>
    <row r="424" spans="1:3" x14ac:dyDescent="0.25">
      <c r="A424"/>
      <c r="B424"/>
      <c r="C424"/>
    </row>
    <row r="425" spans="1:3" x14ac:dyDescent="0.25">
      <c r="A425"/>
      <c r="B425"/>
      <c r="C425"/>
    </row>
    <row r="426" spans="1:3" x14ac:dyDescent="0.25">
      <c r="A426"/>
      <c r="B426"/>
      <c r="C426"/>
    </row>
    <row r="427" spans="1:3" x14ac:dyDescent="0.25">
      <c r="A427"/>
      <c r="B427"/>
      <c r="C427"/>
    </row>
    <row r="428" spans="1:3" x14ac:dyDescent="0.25">
      <c r="A428"/>
      <c r="B428"/>
      <c r="C428"/>
    </row>
    <row r="429" spans="1:3" x14ac:dyDescent="0.25">
      <c r="A429"/>
      <c r="B429"/>
      <c r="C429"/>
    </row>
    <row r="430" spans="1:3" x14ac:dyDescent="0.25">
      <c r="A430"/>
      <c r="B430"/>
      <c r="C430"/>
    </row>
    <row r="431" spans="1:3" x14ac:dyDescent="0.25">
      <c r="A431"/>
      <c r="B431"/>
      <c r="C431"/>
    </row>
    <row r="432" spans="1:3" x14ac:dyDescent="0.25">
      <c r="A432"/>
      <c r="B432"/>
      <c r="C432"/>
    </row>
    <row r="433" spans="1:3" x14ac:dyDescent="0.25">
      <c r="A433"/>
      <c r="B433"/>
      <c r="C433"/>
    </row>
    <row r="434" spans="1:3" x14ac:dyDescent="0.25">
      <c r="A434"/>
      <c r="B434"/>
      <c r="C434"/>
    </row>
    <row r="435" spans="1:3" x14ac:dyDescent="0.25">
      <c r="A435"/>
      <c r="B435"/>
      <c r="C435"/>
    </row>
    <row r="436" spans="1:3" x14ac:dyDescent="0.25">
      <c r="A436"/>
      <c r="B436"/>
      <c r="C436"/>
    </row>
    <row r="437" spans="1:3" x14ac:dyDescent="0.25">
      <c r="A437"/>
      <c r="B437"/>
      <c r="C437"/>
    </row>
    <row r="438" spans="1:3" x14ac:dyDescent="0.25">
      <c r="A438"/>
      <c r="B438"/>
      <c r="C438"/>
    </row>
    <row r="439" spans="1:3" x14ac:dyDescent="0.25">
      <c r="A439"/>
      <c r="B439"/>
      <c r="C439"/>
    </row>
    <row r="440" spans="1:3" x14ac:dyDescent="0.25">
      <c r="A440"/>
      <c r="B440"/>
      <c r="C440"/>
    </row>
    <row r="441" spans="1:3" x14ac:dyDescent="0.25">
      <c r="A441"/>
      <c r="B441"/>
      <c r="C441"/>
    </row>
    <row r="442" spans="1:3" x14ac:dyDescent="0.25">
      <c r="A442"/>
      <c r="B442"/>
      <c r="C442"/>
    </row>
    <row r="443" spans="1:3" x14ac:dyDescent="0.25">
      <c r="A443"/>
      <c r="B443"/>
      <c r="C443"/>
    </row>
    <row r="444" spans="1:3" x14ac:dyDescent="0.25">
      <c r="A444"/>
      <c r="B444"/>
      <c r="C444"/>
    </row>
    <row r="445" spans="1:3" x14ac:dyDescent="0.25">
      <c r="A445"/>
      <c r="B445"/>
      <c r="C445"/>
    </row>
    <row r="446" spans="1:3" x14ac:dyDescent="0.25">
      <c r="A446"/>
      <c r="B446"/>
      <c r="C446"/>
    </row>
    <row r="447" spans="1:3" x14ac:dyDescent="0.25">
      <c r="A447"/>
      <c r="B447"/>
      <c r="C447"/>
    </row>
    <row r="448" spans="1:3" x14ac:dyDescent="0.25">
      <c r="A448"/>
      <c r="B448"/>
      <c r="C448"/>
    </row>
    <row r="449" spans="1:3" x14ac:dyDescent="0.25">
      <c r="A449"/>
      <c r="B449"/>
      <c r="C449"/>
    </row>
    <row r="450" spans="1:3" x14ac:dyDescent="0.25">
      <c r="A450"/>
      <c r="B450"/>
      <c r="C450"/>
    </row>
    <row r="451" spans="1:3" x14ac:dyDescent="0.25">
      <c r="A451"/>
      <c r="B451"/>
      <c r="C451"/>
    </row>
    <row r="452" spans="1:3" x14ac:dyDescent="0.25">
      <c r="A452"/>
      <c r="B452"/>
      <c r="C452"/>
    </row>
    <row r="453" spans="1:3" x14ac:dyDescent="0.25">
      <c r="A453"/>
      <c r="B453"/>
      <c r="C453"/>
    </row>
    <row r="454" spans="1:3" x14ac:dyDescent="0.25">
      <c r="A454"/>
      <c r="B454"/>
      <c r="C454"/>
    </row>
    <row r="455" spans="1:3" x14ac:dyDescent="0.25">
      <c r="A455"/>
      <c r="B455"/>
      <c r="C455"/>
    </row>
    <row r="456" spans="1:3" x14ac:dyDescent="0.25">
      <c r="A456"/>
      <c r="B456"/>
      <c r="C456"/>
    </row>
    <row r="457" spans="1:3" x14ac:dyDescent="0.25">
      <c r="A457"/>
      <c r="B457"/>
      <c r="C457"/>
    </row>
    <row r="458" spans="1:3" x14ac:dyDescent="0.25">
      <c r="A458"/>
      <c r="B458"/>
      <c r="C458"/>
    </row>
    <row r="459" spans="1:3" x14ac:dyDescent="0.25">
      <c r="A459"/>
      <c r="B459"/>
      <c r="C459"/>
    </row>
    <row r="460" spans="1:3" x14ac:dyDescent="0.25">
      <c r="A460"/>
      <c r="B460"/>
      <c r="C460"/>
    </row>
    <row r="461" spans="1:3" x14ac:dyDescent="0.25">
      <c r="A461"/>
      <c r="B461"/>
      <c r="C461"/>
    </row>
    <row r="462" spans="1:3" x14ac:dyDescent="0.25">
      <c r="A462"/>
      <c r="B462"/>
      <c r="C462"/>
    </row>
    <row r="463" spans="1:3" x14ac:dyDescent="0.25">
      <c r="A463"/>
      <c r="B463"/>
      <c r="C463"/>
    </row>
    <row r="464" spans="1:3" x14ac:dyDescent="0.25">
      <c r="A464"/>
      <c r="B464"/>
      <c r="C464"/>
    </row>
    <row r="465" spans="1:3" x14ac:dyDescent="0.25">
      <c r="A465"/>
      <c r="B465"/>
      <c r="C465"/>
    </row>
    <row r="466" spans="1:3" x14ac:dyDescent="0.25">
      <c r="A466"/>
      <c r="B466"/>
      <c r="C466"/>
    </row>
    <row r="467" spans="1:3" x14ac:dyDescent="0.25">
      <c r="A467"/>
      <c r="B467"/>
      <c r="C467"/>
    </row>
    <row r="468" spans="1:3" x14ac:dyDescent="0.25">
      <c r="A468"/>
      <c r="B468"/>
      <c r="C468"/>
    </row>
    <row r="469" spans="1:3" x14ac:dyDescent="0.25">
      <c r="A469"/>
      <c r="B469"/>
      <c r="C469"/>
    </row>
    <row r="470" spans="1:3" x14ac:dyDescent="0.25">
      <c r="A470"/>
      <c r="B470"/>
      <c r="C470"/>
    </row>
    <row r="471" spans="1:3" x14ac:dyDescent="0.25">
      <c r="A471"/>
      <c r="B471"/>
      <c r="C471"/>
    </row>
    <row r="472" spans="1:3" x14ac:dyDescent="0.25">
      <c r="A472"/>
      <c r="B472"/>
      <c r="C472"/>
    </row>
    <row r="473" spans="1:3" x14ac:dyDescent="0.25">
      <c r="A473"/>
      <c r="B473"/>
      <c r="C473"/>
    </row>
    <row r="474" spans="1:3" x14ac:dyDescent="0.25">
      <c r="A474"/>
      <c r="B474"/>
      <c r="C474"/>
    </row>
    <row r="475" spans="1:3" x14ac:dyDescent="0.25">
      <c r="A475"/>
      <c r="B475"/>
      <c r="C475"/>
    </row>
    <row r="476" spans="1:3" x14ac:dyDescent="0.25">
      <c r="A476"/>
      <c r="B476"/>
      <c r="C476"/>
    </row>
    <row r="477" spans="1:3" x14ac:dyDescent="0.25">
      <c r="A477"/>
      <c r="B477"/>
      <c r="C477"/>
    </row>
    <row r="478" spans="1:3" x14ac:dyDescent="0.25">
      <c r="A478"/>
      <c r="B478"/>
      <c r="C478"/>
    </row>
    <row r="479" spans="1:3" x14ac:dyDescent="0.25">
      <c r="A479"/>
      <c r="B479"/>
      <c r="C479"/>
    </row>
    <row r="480" spans="1:3" x14ac:dyDescent="0.25">
      <c r="A480"/>
      <c r="B480"/>
      <c r="C480"/>
    </row>
    <row r="481" spans="1:3" x14ac:dyDescent="0.25">
      <c r="A481"/>
      <c r="B481"/>
      <c r="C481"/>
    </row>
    <row r="482" spans="1:3" x14ac:dyDescent="0.25">
      <c r="A482"/>
      <c r="B482"/>
      <c r="C482"/>
    </row>
    <row r="483" spans="1:3" x14ac:dyDescent="0.25">
      <c r="A483"/>
      <c r="B483"/>
      <c r="C483"/>
    </row>
    <row r="484" spans="1:3" x14ac:dyDescent="0.25">
      <c r="A484"/>
      <c r="B484"/>
      <c r="C484"/>
    </row>
    <row r="485" spans="1:3" x14ac:dyDescent="0.25">
      <c r="A485"/>
      <c r="B485"/>
      <c r="C485"/>
    </row>
    <row r="486" spans="1:3" x14ac:dyDescent="0.25">
      <c r="A486"/>
      <c r="B486"/>
      <c r="C486"/>
    </row>
    <row r="487" spans="1:3" x14ac:dyDescent="0.25">
      <c r="A487"/>
      <c r="B487"/>
      <c r="C487"/>
    </row>
    <row r="488" spans="1:3" x14ac:dyDescent="0.25">
      <c r="A488"/>
      <c r="B488"/>
      <c r="C488"/>
    </row>
    <row r="489" spans="1:3" x14ac:dyDescent="0.25">
      <c r="A489"/>
      <c r="B489"/>
      <c r="C489"/>
    </row>
    <row r="490" spans="1:3" x14ac:dyDescent="0.25">
      <c r="A490"/>
      <c r="B490"/>
      <c r="C490"/>
    </row>
    <row r="491" spans="1:3" x14ac:dyDescent="0.25">
      <c r="A491"/>
      <c r="B491"/>
      <c r="C491"/>
    </row>
    <row r="492" spans="1:3" x14ac:dyDescent="0.25">
      <c r="A492"/>
      <c r="B492"/>
      <c r="C492"/>
    </row>
    <row r="493" spans="1:3" x14ac:dyDescent="0.25">
      <c r="A493"/>
      <c r="B493"/>
      <c r="C493"/>
    </row>
    <row r="494" spans="1:3" x14ac:dyDescent="0.25">
      <c r="A494"/>
      <c r="B494"/>
      <c r="C494"/>
    </row>
    <row r="495" spans="1:3" x14ac:dyDescent="0.25">
      <c r="A495"/>
      <c r="B495"/>
      <c r="C495"/>
    </row>
    <row r="496" spans="1:3" x14ac:dyDescent="0.25">
      <c r="A496"/>
      <c r="B496"/>
      <c r="C496"/>
    </row>
    <row r="497" spans="1:3" x14ac:dyDescent="0.25">
      <c r="A497"/>
      <c r="B497"/>
      <c r="C497"/>
    </row>
    <row r="498" spans="1:3" x14ac:dyDescent="0.25">
      <c r="A498"/>
      <c r="B498"/>
      <c r="C498"/>
    </row>
    <row r="499" spans="1:3" x14ac:dyDescent="0.25">
      <c r="A499"/>
      <c r="B499"/>
      <c r="C499"/>
    </row>
    <row r="500" spans="1:3" x14ac:dyDescent="0.25">
      <c r="A500"/>
      <c r="B500"/>
      <c r="C500"/>
    </row>
    <row r="501" spans="1:3" x14ac:dyDescent="0.25">
      <c r="A501"/>
      <c r="B501"/>
      <c r="C501"/>
    </row>
    <row r="502" spans="1:3" x14ac:dyDescent="0.25">
      <c r="A502"/>
      <c r="B502"/>
      <c r="C502"/>
    </row>
    <row r="503" spans="1:3" x14ac:dyDescent="0.25">
      <c r="A503"/>
      <c r="B503"/>
      <c r="C503"/>
    </row>
    <row r="504" spans="1:3" x14ac:dyDescent="0.25">
      <c r="A504"/>
      <c r="B504"/>
      <c r="C504"/>
    </row>
    <row r="505" spans="1:3" x14ac:dyDescent="0.25">
      <c r="A505"/>
      <c r="B505"/>
      <c r="C505"/>
    </row>
    <row r="506" spans="1:3" x14ac:dyDescent="0.25">
      <c r="A506"/>
      <c r="B506"/>
      <c r="C506"/>
    </row>
    <row r="507" spans="1:3" x14ac:dyDescent="0.25">
      <c r="A507"/>
      <c r="B507"/>
      <c r="C507"/>
    </row>
    <row r="508" spans="1:3" x14ac:dyDescent="0.25">
      <c r="A508"/>
      <c r="B508"/>
      <c r="C508"/>
    </row>
    <row r="509" spans="1:3" x14ac:dyDescent="0.25">
      <c r="A509"/>
      <c r="B509"/>
      <c r="C509"/>
    </row>
    <row r="510" spans="1:3" x14ac:dyDescent="0.25">
      <c r="A510"/>
      <c r="B510"/>
      <c r="C510"/>
    </row>
    <row r="511" spans="1:3" x14ac:dyDescent="0.25">
      <c r="A511"/>
      <c r="B511"/>
      <c r="C511"/>
    </row>
    <row r="512" spans="1:3" x14ac:dyDescent="0.25">
      <c r="A512"/>
      <c r="B512"/>
      <c r="C512"/>
    </row>
    <row r="513" spans="1:3" x14ac:dyDescent="0.25">
      <c r="A513"/>
      <c r="B513"/>
      <c r="C513"/>
    </row>
    <row r="514" spans="1:3" x14ac:dyDescent="0.25">
      <c r="A514"/>
      <c r="B514"/>
      <c r="C514"/>
    </row>
    <row r="515" spans="1:3" x14ac:dyDescent="0.25">
      <c r="A515"/>
      <c r="B515"/>
      <c r="C515"/>
    </row>
    <row r="516" spans="1:3" x14ac:dyDescent="0.25">
      <c r="A516"/>
      <c r="B516"/>
      <c r="C516"/>
    </row>
    <row r="517" spans="1:3" x14ac:dyDescent="0.25">
      <c r="A517"/>
      <c r="B517"/>
      <c r="C517"/>
    </row>
    <row r="518" spans="1:3" x14ac:dyDescent="0.25">
      <c r="A518"/>
      <c r="B518"/>
      <c r="C518"/>
    </row>
    <row r="519" spans="1:3" x14ac:dyDescent="0.25">
      <c r="A519"/>
      <c r="B519"/>
      <c r="C519"/>
    </row>
    <row r="520" spans="1:3" x14ac:dyDescent="0.25">
      <c r="A520"/>
      <c r="B520"/>
      <c r="C520"/>
    </row>
    <row r="521" spans="1:3" x14ac:dyDescent="0.25">
      <c r="A521"/>
      <c r="B521"/>
      <c r="C521"/>
    </row>
    <row r="522" spans="1:3" x14ac:dyDescent="0.25">
      <c r="A522"/>
      <c r="B522"/>
      <c r="C522"/>
    </row>
    <row r="523" spans="1:3" x14ac:dyDescent="0.25">
      <c r="A523"/>
      <c r="B523"/>
      <c r="C523"/>
    </row>
    <row r="524" spans="1:3" x14ac:dyDescent="0.25">
      <c r="A524"/>
      <c r="B524"/>
      <c r="C524"/>
    </row>
    <row r="525" spans="1:3" x14ac:dyDescent="0.25">
      <c r="A525"/>
      <c r="B525"/>
      <c r="C525"/>
    </row>
    <row r="526" spans="1:3" x14ac:dyDescent="0.25">
      <c r="A526"/>
      <c r="B526"/>
      <c r="C526"/>
    </row>
    <row r="527" spans="1:3" x14ac:dyDescent="0.25">
      <c r="A527"/>
      <c r="B527"/>
      <c r="C527"/>
    </row>
    <row r="528" spans="1:3" x14ac:dyDescent="0.25">
      <c r="A528"/>
      <c r="B528"/>
      <c r="C528"/>
    </row>
    <row r="529" spans="1:3" x14ac:dyDescent="0.25">
      <c r="A529"/>
      <c r="B529"/>
      <c r="C529"/>
    </row>
    <row r="530" spans="1:3" x14ac:dyDescent="0.25">
      <c r="A530"/>
      <c r="B530"/>
      <c r="C530"/>
    </row>
    <row r="531" spans="1:3" x14ac:dyDescent="0.25">
      <c r="A531"/>
      <c r="B531"/>
      <c r="C531"/>
    </row>
    <row r="532" spans="1:3" x14ac:dyDescent="0.25">
      <c r="A532"/>
      <c r="B532"/>
      <c r="C532"/>
    </row>
    <row r="533" spans="1:3" x14ac:dyDescent="0.25">
      <c r="A533"/>
      <c r="B533"/>
      <c r="C533"/>
    </row>
    <row r="534" spans="1:3" x14ac:dyDescent="0.25">
      <c r="A534"/>
      <c r="B534"/>
      <c r="C534"/>
    </row>
    <row r="535" spans="1:3" x14ac:dyDescent="0.25">
      <c r="A535"/>
      <c r="B535"/>
      <c r="C535"/>
    </row>
    <row r="536" spans="1:3" x14ac:dyDescent="0.25">
      <c r="A536"/>
      <c r="B536"/>
      <c r="C536"/>
    </row>
    <row r="537" spans="1:3" x14ac:dyDescent="0.25">
      <c r="A537"/>
      <c r="B537"/>
      <c r="C537"/>
    </row>
    <row r="538" spans="1:3" x14ac:dyDescent="0.25">
      <c r="A538"/>
      <c r="B538"/>
      <c r="C538"/>
    </row>
    <row r="539" spans="1:3" x14ac:dyDescent="0.25">
      <c r="A539"/>
      <c r="B539"/>
      <c r="C539"/>
    </row>
    <row r="540" spans="1:3" x14ac:dyDescent="0.25">
      <c r="A540"/>
      <c r="B540"/>
      <c r="C540"/>
    </row>
    <row r="541" spans="1:3" x14ac:dyDescent="0.25">
      <c r="A541"/>
      <c r="B541"/>
      <c r="C541"/>
    </row>
    <row r="542" spans="1:3" x14ac:dyDescent="0.25">
      <c r="A542"/>
      <c r="B542"/>
      <c r="C542"/>
    </row>
    <row r="543" spans="1:3" x14ac:dyDescent="0.25">
      <c r="A543"/>
      <c r="B543"/>
      <c r="C543"/>
    </row>
    <row r="544" spans="1:3" x14ac:dyDescent="0.25">
      <c r="A544"/>
      <c r="B544"/>
      <c r="C544"/>
    </row>
    <row r="545" spans="1:3" x14ac:dyDescent="0.25">
      <c r="A545"/>
      <c r="B545"/>
      <c r="C545"/>
    </row>
    <row r="546" spans="1:3" x14ac:dyDescent="0.25">
      <c r="A546"/>
      <c r="B546"/>
      <c r="C546"/>
    </row>
    <row r="547" spans="1:3" x14ac:dyDescent="0.25">
      <c r="A547"/>
      <c r="B547"/>
      <c r="C547"/>
    </row>
    <row r="548" spans="1:3" x14ac:dyDescent="0.25">
      <c r="A548"/>
      <c r="B548"/>
      <c r="C548"/>
    </row>
    <row r="549" spans="1:3" x14ac:dyDescent="0.25">
      <c r="A549"/>
      <c r="B549"/>
      <c r="C549"/>
    </row>
    <row r="550" spans="1:3" x14ac:dyDescent="0.25">
      <c r="A550"/>
      <c r="B550"/>
      <c r="C550"/>
    </row>
    <row r="551" spans="1:3" x14ac:dyDescent="0.25">
      <c r="A551"/>
      <c r="B551"/>
      <c r="C551"/>
    </row>
    <row r="552" spans="1:3" x14ac:dyDescent="0.25">
      <c r="A552"/>
      <c r="B552"/>
      <c r="C552"/>
    </row>
    <row r="553" spans="1:3" x14ac:dyDescent="0.25">
      <c r="A553"/>
      <c r="B553"/>
      <c r="C553"/>
    </row>
    <row r="554" spans="1:3" x14ac:dyDescent="0.25">
      <c r="A554"/>
      <c r="B554"/>
      <c r="C554"/>
    </row>
    <row r="555" spans="1:3" x14ac:dyDescent="0.25">
      <c r="A555"/>
      <c r="B555"/>
      <c r="C555"/>
    </row>
    <row r="556" spans="1:3" x14ac:dyDescent="0.25">
      <c r="A556"/>
      <c r="B556"/>
      <c r="C556"/>
    </row>
    <row r="557" spans="1:3" x14ac:dyDescent="0.25">
      <c r="A557"/>
      <c r="B557"/>
      <c r="C557"/>
    </row>
    <row r="558" spans="1:3" x14ac:dyDescent="0.25">
      <c r="A558"/>
      <c r="B558"/>
      <c r="C558"/>
    </row>
    <row r="559" spans="1:3" x14ac:dyDescent="0.25">
      <c r="A559"/>
      <c r="B559"/>
      <c r="C559"/>
    </row>
    <row r="560" spans="1:3" x14ac:dyDescent="0.25">
      <c r="A560"/>
      <c r="B560"/>
      <c r="C560"/>
    </row>
    <row r="561" spans="1:3" x14ac:dyDescent="0.25">
      <c r="A561"/>
      <c r="B561"/>
      <c r="C561"/>
    </row>
    <row r="562" spans="1:3" x14ac:dyDescent="0.25">
      <c r="A562"/>
      <c r="B562"/>
      <c r="C562"/>
    </row>
    <row r="563" spans="1:3" x14ac:dyDescent="0.25">
      <c r="A563"/>
      <c r="B563"/>
      <c r="C563"/>
    </row>
    <row r="564" spans="1:3" x14ac:dyDescent="0.25">
      <c r="A564"/>
      <c r="B564"/>
      <c r="C564"/>
    </row>
    <row r="565" spans="1:3" x14ac:dyDescent="0.25">
      <c r="A565"/>
      <c r="B565"/>
      <c r="C565"/>
    </row>
    <row r="566" spans="1:3" x14ac:dyDescent="0.25">
      <c r="A566"/>
      <c r="B566"/>
      <c r="C566"/>
    </row>
    <row r="567" spans="1:3" x14ac:dyDescent="0.25">
      <c r="A567"/>
      <c r="B567"/>
      <c r="C567"/>
    </row>
    <row r="568" spans="1:3" x14ac:dyDescent="0.25">
      <c r="A568"/>
      <c r="B568"/>
      <c r="C568"/>
    </row>
    <row r="569" spans="1:3" x14ac:dyDescent="0.25">
      <c r="A569"/>
      <c r="B569"/>
      <c r="C569"/>
    </row>
    <row r="570" spans="1:3" x14ac:dyDescent="0.25">
      <c r="A570"/>
      <c r="B570"/>
      <c r="C570"/>
    </row>
    <row r="571" spans="1:3" x14ac:dyDescent="0.25">
      <c r="A571"/>
      <c r="B571"/>
      <c r="C571"/>
    </row>
    <row r="572" spans="1:3" x14ac:dyDescent="0.25">
      <c r="A572"/>
      <c r="B572"/>
      <c r="C572"/>
    </row>
    <row r="573" spans="1:3" x14ac:dyDescent="0.25">
      <c r="A573"/>
      <c r="B573"/>
      <c r="C573"/>
    </row>
    <row r="574" spans="1:3" x14ac:dyDescent="0.25">
      <c r="A574"/>
      <c r="B574"/>
      <c r="C574"/>
    </row>
    <row r="575" spans="1:3" x14ac:dyDescent="0.25">
      <c r="A575"/>
      <c r="B575"/>
      <c r="C575"/>
    </row>
    <row r="576" spans="1:3" x14ac:dyDescent="0.25">
      <c r="A576"/>
      <c r="B576"/>
      <c r="C576"/>
    </row>
    <row r="577" spans="1:3" x14ac:dyDescent="0.25">
      <c r="A577"/>
      <c r="B577"/>
      <c r="C577"/>
    </row>
    <row r="578" spans="1:3" x14ac:dyDescent="0.25">
      <c r="A578"/>
      <c r="B578"/>
      <c r="C578"/>
    </row>
    <row r="579" spans="1:3" x14ac:dyDescent="0.25">
      <c r="A579"/>
      <c r="B579"/>
      <c r="C579"/>
    </row>
    <row r="580" spans="1:3" x14ac:dyDescent="0.25">
      <c r="A580"/>
      <c r="B580"/>
      <c r="C580"/>
    </row>
    <row r="581" spans="1:3" x14ac:dyDescent="0.25">
      <c r="A581"/>
      <c r="B581"/>
      <c r="C581"/>
    </row>
    <row r="582" spans="1:3" x14ac:dyDescent="0.25">
      <c r="A582"/>
      <c r="B582"/>
      <c r="C582"/>
    </row>
    <row r="583" spans="1:3" x14ac:dyDescent="0.25">
      <c r="A583"/>
      <c r="B583"/>
      <c r="C583"/>
    </row>
    <row r="584" spans="1:3" x14ac:dyDescent="0.25">
      <c r="A584"/>
      <c r="B584"/>
      <c r="C584"/>
    </row>
    <row r="585" spans="1:3" x14ac:dyDescent="0.25">
      <c r="A585"/>
      <c r="B585"/>
      <c r="C585"/>
    </row>
    <row r="586" spans="1:3" x14ac:dyDescent="0.25">
      <c r="A586"/>
      <c r="B586"/>
      <c r="C586"/>
    </row>
    <row r="587" spans="1:3" x14ac:dyDescent="0.25">
      <c r="A587"/>
      <c r="B587"/>
      <c r="C587"/>
    </row>
    <row r="588" spans="1:3" x14ac:dyDescent="0.25">
      <c r="A588"/>
      <c r="B588"/>
      <c r="C588"/>
    </row>
    <row r="589" spans="1:3" x14ac:dyDescent="0.25">
      <c r="A589"/>
      <c r="B589"/>
      <c r="C589"/>
    </row>
    <row r="590" spans="1:3" x14ac:dyDescent="0.25">
      <c r="A590"/>
      <c r="B590"/>
      <c r="C590"/>
    </row>
    <row r="591" spans="1:3" x14ac:dyDescent="0.25">
      <c r="A591"/>
      <c r="B591"/>
      <c r="C591"/>
    </row>
    <row r="592" spans="1:3" x14ac:dyDescent="0.25">
      <c r="A592"/>
      <c r="B592"/>
      <c r="C592"/>
    </row>
    <row r="593" spans="1:3" x14ac:dyDescent="0.25">
      <c r="A593"/>
      <c r="B593"/>
      <c r="C593"/>
    </row>
    <row r="594" spans="1:3" x14ac:dyDescent="0.25">
      <c r="A594"/>
      <c r="B594"/>
      <c r="C594"/>
    </row>
    <row r="595" spans="1:3" x14ac:dyDescent="0.25">
      <c r="A595"/>
      <c r="B595"/>
      <c r="C595"/>
    </row>
    <row r="596" spans="1:3" x14ac:dyDescent="0.25">
      <c r="A596"/>
      <c r="B596"/>
      <c r="C596"/>
    </row>
    <row r="597" spans="1:3" x14ac:dyDescent="0.25">
      <c r="A597"/>
      <c r="B597"/>
      <c r="C597"/>
    </row>
    <row r="598" spans="1:3" x14ac:dyDescent="0.25">
      <c r="A598"/>
      <c r="B598"/>
      <c r="C598"/>
    </row>
    <row r="599" spans="1:3" x14ac:dyDescent="0.25">
      <c r="A599"/>
      <c r="B599"/>
      <c r="C599"/>
    </row>
    <row r="600" spans="1:3" x14ac:dyDescent="0.25">
      <c r="A600"/>
      <c r="B600"/>
      <c r="C600"/>
    </row>
    <row r="601" spans="1:3" x14ac:dyDescent="0.25">
      <c r="A601"/>
      <c r="B601"/>
      <c r="C601"/>
    </row>
    <row r="602" spans="1:3" x14ac:dyDescent="0.25">
      <c r="A602"/>
      <c r="B602"/>
      <c r="C602"/>
    </row>
    <row r="603" spans="1:3" x14ac:dyDescent="0.25">
      <c r="A603"/>
      <c r="B603"/>
      <c r="C603"/>
    </row>
    <row r="604" spans="1:3" x14ac:dyDescent="0.25">
      <c r="A604"/>
      <c r="B604"/>
      <c r="C604"/>
    </row>
    <row r="605" spans="1:3" x14ac:dyDescent="0.25">
      <c r="A605"/>
      <c r="B605"/>
      <c r="C605"/>
    </row>
    <row r="606" spans="1:3" x14ac:dyDescent="0.25">
      <c r="A606"/>
      <c r="B606"/>
      <c r="C606"/>
    </row>
    <row r="607" spans="1:3" x14ac:dyDescent="0.25">
      <c r="A607"/>
      <c r="B607"/>
      <c r="C607"/>
    </row>
    <row r="608" spans="1:3" x14ac:dyDescent="0.25">
      <c r="A608"/>
      <c r="B608"/>
      <c r="C608"/>
    </row>
    <row r="609" spans="1:3" x14ac:dyDescent="0.25">
      <c r="A609"/>
      <c r="B609"/>
      <c r="C609"/>
    </row>
    <row r="610" spans="1:3" x14ac:dyDescent="0.25">
      <c r="A610"/>
      <c r="B610"/>
      <c r="C610"/>
    </row>
    <row r="611" spans="1:3" x14ac:dyDescent="0.25">
      <c r="A611"/>
      <c r="B611"/>
      <c r="C611"/>
    </row>
    <row r="612" spans="1:3" x14ac:dyDescent="0.25">
      <c r="A612"/>
      <c r="B612"/>
      <c r="C612"/>
    </row>
    <row r="613" spans="1:3" x14ac:dyDescent="0.25">
      <c r="A613"/>
      <c r="B613"/>
      <c r="C613"/>
    </row>
    <row r="614" spans="1:3" x14ac:dyDescent="0.25">
      <c r="A614"/>
      <c r="B614"/>
      <c r="C614"/>
    </row>
    <row r="615" spans="1:3" x14ac:dyDescent="0.25">
      <c r="A615"/>
      <c r="B615"/>
      <c r="C615"/>
    </row>
    <row r="616" spans="1:3" x14ac:dyDescent="0.25">
      <c r="A616"/>
      <c r="B616"/>
      <c r="C616"/>
    </row>
    <row r="617" spans="1:3" x14ac:dyDescent="0.25">
      <c r="A617"/>
      <c r="B617"/>
      <c r="C617"/>
    </row>
    <row r="618" spans="1:3" x14ac:dyDescent="0.25">
      <c r="A618"/>
      <c r="B618"/>
      <c r="C618"/>
    </row>
    <row r="619" spans="1:3" x14ac:dyDescent="0.25">
      <c r="A619"/>
      <c r="B619"/>
      <c r="C619"/>
    </row>
    <row r="620" spans="1:3" x14ac:dyDescent="0.25">
      <c r="A620"/>
      <c r="B620"/>
      <c r="C620"/>
    </row>
    <row r="621" spans="1:3" x14ac:dyDescent="0.25">
      <c r="A621"/>
      <c r="B621"/>
      <c r="C621"/>
    </row>
    <row r="622" spans="1:3" x14ac:dyDescent="0.25">
      <c r="A622"/>
      <c r="B622"/>
      <c r="C622"/>
    </row>
    <row r="623" spans="1:3" x14ac:dyDescent="0.25">
      <c r="A623"/>
      <c r="B623"/>
      <c r="C623"/>
    </row>
    <row r="624" spans="1:3" x14ac:dyDescent="0.25">
      <c r="A624"/>
      <c r="B624"/>
      <c r="C624"/>
    </row>
    <row r="625" spans="1:3" x14ac:dyDescent="0.25">
      <c r="A625"/>
      <c r="B625"/>
      <c r="C625"/>
    </row>
    <row r="626" spans="1:3" x14ac:dyDescent="0.25">
      <c r="A626"/>
      <c r="B626"/>
      <c r="C626"/>
    </row>
    <row r="627" spans="1:3" x14ac:dyDescent="0.25">
      <c r="A627"/>
      <c r="B627"/>
      <c r="C627"/>
    </row>
    <row r="628" spans="1:3" x14ac:dyDescent="0.25">
      <c r="A628"/>
      <c r="B628"/>
      <c r="C628"/>
    </row>
    <row r="629" spans="1:3" x14ac:dyDescent="0.25">
      <c r="A629"/>
      <c r="B629"/>
      <c r="C629"/>
    </row>
    <row r="630" spans="1:3" x14ac:dyDescent="0.25">
      <c r="A630"/>
      <c r="B630"/>
      <c r="C630"/>
    </row>
    <row r="631" spans="1:3" x14ac:dyDescent="0.25">
      <c r="A631"/>
      <c r="B631"/>
      <c r="C631"/>
    </row>
    <row r="632" spans="1:3" x14ac:dyDescent="0.25">
      <c r="A632"/>
      <c r="B632"/>
      <c r="C632"/>
    </row>
    <row r="633" spans="1:3" x14ac:dyDescent="0.25">
      <c r="A633"/>
      <c r="B633"/>
      <c r="C633"/>
    </row>
    <row r="634" spans="1:3" x14ac:dyDescent="0.25">
      <c r="A634"/>
      <c r="B634"/>
      <c r="C634"/>
    </row>
    <row r="635" spans="1:3" x14ac:dyDescent="0.25">
      <c r="A635"/>
      <c r="B635"/>
      <c r="C635"/>
    </row>
    <row r="636" spans="1:3" x14ac:dyDescent="0.25">
      <c r="A636"/>
      <c r="B636"/>
      <c r="C636"/>
    </row>
    <row r="637" spans="1:3" x14ac:dyDescent="0.25">
      <c r="A637"/>
      <c r="B637"/>
      <c r="C637"/>
    </row>
    <row r="638" spans="1:3" x14ac:dyDescent="0.25">
      <c r="A638"/>
      <c r="B638"/>
      <c r="C638"/>
    </row>
    <row r="639" spans="1:3" x14ac:dyDescent="0.25">
      <c r="A639"/>
      <c r="B639"/>
      <c r="C639"/>
    </row>
    <row r="640" spans="1:3" x14ac:dyDescent="0.25">
      <c r="A640"/>
      <c r="B640"/>
      <c r="C640"/>
    </row>
    <row r="641" spans="1:3" x14ac:dyDescent="0.25">
      <c r="A641"/>
      <c r="B641"/>
      <c r="C641"/>
    </row>
    <row r="642" spans="1:3" x14ac:dyDescent="0.25">
      <c r="A642"/>
      <c r="B642"/>
      <c r="C642"/>
    </row>
    <row r="643" spans="1:3" x14ac:dyDescent="0.25">
      <c r="A643"/>
      <c r="B643"/>
      <c r="C643"/>
    </row>
    <row r="644" spans="1:3" x14ac:dyDescent="0.25">
      <c r="A644"/>
      <c r="B644"/>
      <c r="C644"/>
    </row>
    <row r="645" spans="1:3" x14ac:dyDescent="0.25">
      <c r="A645"/>
      <c r="B645"/>
      <c r="C645"/>
    </row>
    <row r="646" spans="1:3" x14ac:dyDescent="0.25">
      <c r="A646"/>
      <c r="B646"/>
      <c r="C646"/>
    </row>
    <row r="647" spans="1:3" x14ac:dyDescent="0.25">
      <c r="A647"/>
      <c r="B647"/>
      <c r="C647"/>
    </row>
    <row r="648" spans="1:3" x14ac:dyDescent="0.25">
      <c r="A648"/>
      <c r="B648"/>
      <c r="C648"/>
    </row>
    <row r="649" spans="1:3" x14ac:dyDescent="0.25">
      <c r="A649"/>
      <c r="B649"/>
      <c r="C649"/>
    </row>
    <row r="650" spans="1:3" x14ac:dyDescent="0.25">
      <c r="A650"/>
      <c r="B650"/>
      <c r="C650"/>
    </row>
    <row r="651" spans="1:3" x14ac:dyDescent="0.25">
      <c r="A651"/>
      <c r="B651"/>
      <c r="C651"/>
    </row>
    <row r="652" spans="1:3" x14ac:dyDescent="0.25">
      <c r="A652"/>
      <c r="B652"/>
      <c r="C652"/>
    </row>
    <row r="653" spans="1:3" x14ac:dyDescent="0.25">
      <c r="A653"/>
      <c r="B653"/>
      <c r="C653"/>
    </row>
    <row r="654" spans="1:3" x14ac:dyDescent="0.25">
      <c r="A654"/>
      <c r="B654"/>
      <c r="C654"/>
    </row>
    <row r="655" spans="1:3" x14ac:dyDescent="0.25">
      <c r="A655"/>
      <c r="B655"/>
      <c r="C655"/>
    </row>
    <row r="656" spans="1:3" x14ac:dyDescent="0.25">
      <c r="A656"/>
      <c r="B656"/>
      <c r="C656"/>
    </row>
    <row r="657" spans="1:3" x14ac:dyDescent="0.25">
      <c r="A657"/>
      <c r="B657"/>
      <c r="C657"/>
    </row>
    <row r="658" spans="1:3" x14ac:dyDescent="0.25">
      <c r="A658"/>
      <c r="B658"/>
      <c r="C658"/>
    </row>
    <row r="659" spans="1:3" x14ac:dyDescent="0.25">
      <c r="A659"/>
      <c r="B659"/>
      <c r="C659"/>
    </row>
    <row r="660" spans="1:3" x14ac:dyDescent="0.25">
      <c r="A660"/>
      <c r="B660"/>
      <c r="C660"/>
    </row>
    <row r="661" spans="1:3" x14ac:dyDescent="0.25">
      <c r="A661"/>
      <c r="B661"/>
      <c r="C661"/>
    </row>
    <row r="662" spans="1:3" x14ac:dyDescent="0.25">
      <c r="A662"/>
      <c r="B662"/>
      <c r="C662"/>
    </row>
    <row r="663" spans="1:3" x14ac:dyDescent="0.25">
      <c r="A663"/>
      <c r="B663"/>
      <c r="C663"/>
    </row>
    <row r="664" spans="1:3" x14ac:dyDescent="0.25">
      <c r="A664"/>
      <c r="B664"/>
      <c r="C664"/>
    </row>
    <row r="665" spans="1:3" x14ac:dyDescent="0.25">
      <c r="A665"/>
      <c r="B665"/>
      <c r="C665"/>
    </row>
    <row r="666" spans="1:3" x14ac:dyDescent="0.25">
      <c r="A666"/>
      <c r="B666"/>
      <c r="C666"/>
    </row>
    <row r="667" spans="1:3" x14ac:dyDescent="0.25">
      <c r="A667"/>
      <c r="B667"/>
      <c r="C667"/>
    </row>
    <row r="668" spans="1:3" x14ac:dyDescent="0.25">
      <c r="A668"/>
      <c r="B668"/>
      <c r="C668"/>
    </row>
    <row r="669" spans="1:3" x14ac:dyDescent="0.25">
      <c r="A669"/>
      <c r="B669"/>
      <c r="C669"/>
    </row>
    <row r="670" spans="1:3" x14ac:dyDescent="0.25">
      <c r="A670"/>
      <c r="B670"/>
      <c r="C670"/>
    </row>
    <row r="671" spans="1:3" x14ac:dyDescent="0.25">
      <c r="A671"/>
      <c r="B671"/>
      <c r="C671"/>
    </row>
    <row r="672" spans="1:3" x14ac:dyDescent="0.25">
      <c r="A672"/>
      <c r="B672"/>
      <c r="C672"/>
    </row>
    <row r="673" spans="1:3" x14ac:dyDescent="0.25">
      <c r="A673"/>
      <c r="B673"/>
      <c r="C673"/>
    </row>
    <row r="674" spans="1:3" x14ac:dyDescent="0.25">
      <c r="A674"/>
      <c r="B674"/>
      <c r="C674"/>
    </row>
    <row r="675" spans="1:3" x14ac:dyDescent="0.25">
      <c r="A675"/>
      <c r="B675"/>
      <c r="C675"/>
    </row>
    <row r="676" spans="1:3" x14ac:dyDescent="0.25">
      <c r="A676"/>
      <c r="B676"/>
      <c r="C676"/>
    </row>
    <row r="677" spans="1:3" x14ac:dyDescent="0.25">
      <c r="A677"/>
      <c r="B677"/>
      <c r="C677"/>
    </row>
    <row r="678" spans="1:3" x14ac:dyDescent="0.25">
      <c r="A678"/>
      <c r="B678"/>
      <c r="C678"/>
    </row>
    <row r="679" spans="1:3" x14ac:dyDescent="0.25">
      <c r="A679"/>
      <c r="B679"/>
      <c r="C679"/>
    </row>
    <row r="680" spans="1:3" x14ac:dyDescent="0.25">
      <c r="A680"/>
      <c r="B680"/>
      <c r="C680"/>
    </row>
    <row r="681" spans="1:3" x14ac:dyDescent="0.25">
      <c r="A681"/>
      <c r="B681"/>
      <c r="C681"/>
    </row>
    <row r="682" spans="1:3" x14ac:dyDescent="0.25">
      <c r="A682"/>
      <c r="B682"/>
      <c r="C682"/>
    </row>
    <row r="683" spans="1:3" x14ac:dyDescent="0.25">
      <c r="A683"/>
      <c r="B683"/>
      <c r="C683"/>
    </row>
    <row r="684" spans="1:3" x14ac:dyDescent="0.25">
      <c r="A684"/>
      <c r="B684"/>
      <c r="C684"/>
    </row>
    <row r="685" spans="1:3" x14ac:dyDescent="0.25">
      <c r="A685"/>
      <c r="B685"/>
      <c r="C685"/>
    </row>
    <row r="686" spans="1:3" x14ac:dyDescent="0.25">
      <c r="A686"/>
      <c r="B686"/>
      <c r="C686"/>
    </row>
    <row r="687" spans="1:3" x14ac:dyDescent="0.25">
      <c r="A687"/>
      <c r="B687"/>
      <c r="C687"/>
    </row>
    <row r="688" spans="1:3" x14ac:dyDescent="0.25">
      <c r="A688"/>
      <c r="B688"/>
      <c r="C688"/>
    </row>
    <row r="689" spans="1:3" x14ac:dyDescent="0.25">
      <c r="A689"/>
      <c r="B689"/>
      <c r="C689"/>
    </row>
    <row r="690" spans="1:3" x14ac:dyDescent="0.25">
      <c r="A690"/>
      <c r="B690"/>
      <c r="C690"/>
    </row>
    <row r="691" spans="1:3" x14ac:dyDescent="0.25">
      <c r="A691"/>
      <c r="B691"/>
      <c r="C691"/>
    </row>
    <row r="692" spans="1:3" x14ac:dyDescent="0.25">
      <c r="A692"/>
      <c r="B692"/>
      <c r="C692"/>
    </row>
    <row r="693" spans="1:3" x14ac:dyDescent="0.25">
      <c r="A693"/>
      <c r="B693"/>
      <c r="C693"/>
    </row>
    <row r="694" spans="1:3" x14ac:dyDescent="0.25">
      <c r="A694"/>
      <c r="B694"/>
      <c r="C694"/>
    </row>
    <row r="695" spans="1:3" x14ac:dyDescent="0.25">
      <c r="A695"/>
      <c r="B695"/>
      <c r="C695"/>
    </row>
    <row r="696" spans="1:3" x14ac:dyDescent="0.25">
      <c r="A696"/>
      <c r="B696"/>
      <c r="C696"/>
    </row>
    <row r="697" spans="1:3" x14ac:dyDescent="0.25">
      <c r="A697"/>
      <c r="B697"/>
      <c r="C697"/>
    </row>
    <row r="698" spans="1:3" x14ac:dyDescent="0.25">
      <c r="A698"/>
      <c r="B698"/>
      <c r="C698"/>
    </row>
    <row r="699" spans="1:3" x14ac:dyDescent="0.25">
      <c r="A699"/>
      <c r="B699"/>
      <c r="C699"/>
    </row>
    <row r="700" spans="1:3" x14ac:dyDescent="0.25">
      <c r="A700"/>
      <c r="B700"/>
      <c r="C700"/>
    </row>
    <row r="701" spans="1:3" x14ac:dyDescent="0.25">
      <c r="A701"/>
      <c r="B701"/>
      <c r="C701"/>
    </row>
    <row r="702" spans="1:3" x14ac:dyDescent="0.25">
      <c r="A702"/>
      <c r="B702"/>
      <c r="C702"/>
    </row>
    <row r="703" spans="1:3" x14ac:dyDescent="0.25">
      <c r="A703"/>
      <c r="B703"/>
      <c r="C703"/>
    </row>
    <row r="704" spans="1:3" x14ac:dyDescent="0.25">
      <c r="A704"/>
      <c r="B704"/>
      <c r="C704"/>
    </row>
    <row r="705" spans="1:3" x14ac:dyDescent="0.25">
      <c r="A705"/>
      <c r="B705"/>
      <c r="C705"/>
    </row>
    <row r="706" spans="1:3" x14ac:dyDescent="0.25">
      <c r="A706"/>
      <c r="B706"/>
      <c r="C706"/>
    </row>
    <row r="707" spans="1:3" x14ac:dyDescent="0.25">
      <c r="A707"/>
      <c r="B707"/>
      <c r="C707"/>
    </row>
    <row r="708" spans="1:3" x14ac:dyDescent="0.25">
      <c r="A708"/>
      <c r="B708"/>
      <c r="C708"/>
    </row>
    <row r="709" spans="1:3" x14ac:dyDescent="0.25">
      <c r="A709"/>
      <c r="B709"/>
      <c r="C709"/>
    </row>
    <row r="710" spans="1:3" x14ac:dyDescent="0.25">
      <c r="A710"/>
      <c r="B710"/>
      <c r="C710"/>
    </row>
    <row r="711" spans="1:3" x14ac:dyDescent="0.25">
      <c r="A711"/>
      <c r="B711"/>
      <c r="C711"/>
    </row>
    <row r="712" spans="1:3" x14ac:dyDescent="0.25">
      <c r="A712"/>
      <c r="B712"/>
      <c r="C712"/>
    </row>
    <row r="713" spans="1:3" x14ac:dyDescent="0.25">
      <c r="A713"/>
      <c r="B713"/>
      <c r="C713"/>
    </row>
    <row r="714" spans="1:3" x14ac:dyDescent="0.25">
      <c r="A714"/>
      <c r="B714"/>
      <c r="C714"/>
    </row>
    <row r="715" spans="1:3" x14ac:dyDescent="0.25">
      <c r="A715"/>
      <c r="B715"/>
      <c r="C715"/>
    </row>
    <row r="716" spans="1:3" x14ac:dyDescent="0.25">
      <c r="A716"/>
      <c r="B716"/>
      <c r="C716"/>
    </row>
    <row r="717" spans="1:3" x14ac:dyDescent="0.25">
      <c r="A717"/>
      <c r="B717"/>
      <c r="C717"/>
    </row>
    <row r="718" spans="1:3" x14ac:dyDescent="0.25">
      <c r="A718"/>
      <c r="B718"/>
      <c r="C718"/>
    </row>
    <row r="719" spans="1:3" x14ac:dyDescent="0.25">
      <c r="A719"/>
      <c r="B719"/>
      <c r="C719"/>
    </row>
    <row r="720" spans="1:3" x14ac:dyDescent="0.25">
      <c r="A720"/>
      <c r="B720"/>
      <c r="C720"/>
    </row>
    <row r="721" spans="1:3" x14ac:dyDescent="0.25">
      <c r="A721"/>
      <c r="B721"/>
      <c r="C721"/>
    </row>
    <row r="722" spans="1:3" x14ac:dyDescent="0.25">
      <c r="A722"/>
      <c r="B722"/>
      <c r="C722"/>
    </row>
    <row r="723" spans="1:3" x14ac:dyDescent="0.25">
      <c r="A723"/>
      <c r="B723"/>
      <c r="C723"/>
    </row>
    <row r="724" spans="1:3" x14ac:dyDescent="0.25">
      <c r="A724"/>
      <c r="B724"/>
      <c r="C724"/>
    </row>
    <row r="725" spans="1:3" x14ac:dyDescent="0.25">
      <c r="A725"/>
      <c r="B725"/>
      <c r="C725"/>
    </row>
    <row r="726" spans="1:3" x14ac:dyDescent="0.25">
      <c r="A726"/>
      <c r="B726"/>
      <c r="C726"/>
    </row>
    <row r="727" spans="1:3" x14ac:dyDescent="0.25">
      <c r="A727"/>
      <c r="B727"/>
      <c r="C727"/>
    </row>
    <row r="728" spans="1:3" x14ac:dyDescent="0.25">
      <c r="A728"/>
      <c r="B728"/>
      <c r="C728"/>
    </row>
    <row r="729" spans="1:3" x14ac:dyDescent="0.25">
      <c r="A729"/>
      <c r="B729"/>
      <c r="C729"/>
    </row>
    <row r="730" spans="1:3" x14ac:dyDescent="0.25">
      <c r="A730"/>
      <c r="B730"/>
      <c r="C730"/>
    </row>
    <row r="731" spans="1:3" x14ac:dyDescent="0.25">
      <c r="A731"/>
      <c r="B731"/>
      <c r="C731"/>
    </row>
    <row r="732" spans="1:3" x14ac:dyDescent="0.25">
      <c r="A732"/>
      <c r="B732"/>
      <c r="C732"/>
    </row>
    <row r="733" spans="1:3" x14ac:dyDescent="0.25">
      <c r="A733"/>
      <c r="B733"/>
      <c r="C733"/>
    </row>
    <row r="734" spans="1:3" x14ac:dyDescent="0.25">
      <c r="A734"/>
      <c r="B734"/>
      <c r="C734"/>
    </row>
    <row r="735" spans="1:3" x14ac:dyDescent="0.25">
      <c r="A735"/>
      <c r="B735"/>
      <c r="C735"/>
    </row>
    <row r="736" spans="1:3" x14ac:dyDescent="0.25">
      <c r="A736"/>
      <c r="B736"/>
      <c r="C736"/>
    </row>
    <row r="737" spans="1:3" x14ac:dyDescent="0.25">
      <c r="A737"/>
      <c r="B737"/>
      <c r="C737"/>
    </row>
    <row r="738" spans="1:3" x14ac:dyDescent="0.25">
      <c r="A738"/>
      <c r="B738"/>
      <c r="C738"/>
    </row>
    <row r="739" spans="1:3" x14ac:dyDescent="0.25">
      <c r="A739"/>
      <c r="B739"/>
      <c r="C739"/>
    </row>
    <row r="740" spans="1:3" x14ac:dyDescent="0.25">
      <c r="A740"/>
      <c r="B740"/>
      <c r="C740"/>
    </row>
    <row r="741" spans="1:3" x14ac:dyDescent="0.25">
      <c r="A741"/>
      <c r="B741"/>
      <c r="C741"/>
    </row>
    <row r="742" spans="1:3" x14ac:dyDescent="0.25">
      <c r="A742"/>
      <c r="B742"/>
      <c r="C742"/>
    </row>
    <row r="743" spans="1:3" x14ac:dyDescent="0.25">
      <c r="A743"/>
      <c r="B743"/>
      <c r="C743"/>
    </row>
    <row r="744" spans="1:3" x14ac:dyDescent="0.25">
      <c r="A744"/>
      <c r="B744"/>
      <c r="C744"/>
    </row>
    <row r="745" spans="1:3" x14ac:dyDescent="0.25">
      <c r="A745"/>
      <c r="B745"/>
      <c r="C745"/>
    </row>
    <row r="746" spans="1:3" x14ac:dyDescent="0.25">
      <c r="A746"/>
      <c r="B746"/>
      <c r="C746"/>
    </row>
    <row r="747" spans="1:3" x14ac:dyDescent="0.25">
      <c r="A747"/>
      <c r="B747"/>
      <c r="C747"/>
    </row>
    <row r="748" spans="1:3" x14ac:dyDescent="0.25">
      <c r="A748"/>
      <c r="B748"/>
      <c r="C748"/>
    </row>
    <row r="749" spans="1:3" x14ac:dyDescent="0.25">
      <c r="A749"/>
      <c r="B749"/>
      <c r="C749"/>
    </row>
    <row r="750" spans="1:3" x14ac:dyDescent="0.25">
      <c r="A750"/>
      <c r="B750"/>
      <c r="C750"/>
    </row>
    <row r="751" spans="1:3" x14ac:dyDescent="0.25">
      <c r="A751"/>
      <c r="B751"/>
      <c r="C751"/>
    </row>
    <row r="752" spans="1:3" x14ac:dyDescent="0.25">
      <c r="A752"/>
      <c r="B752"/>
      <c r="C752"/>
    </row>
    <row r="753" spans="1:3" x14ac:dyDescent="0.25">
      <c r="A753"/>
      <c r="B753"/>
      <c r="C753"/>
    </row>
    <row r="754" spans="1:3" x14ac:dyDescent="0.25">
      <c r="A754"/>
      <c r="B754"/>
      <c r="C754"/>
    </row>
    <row r="755" spans="1:3" x14ac:dyDescent="0.25">
      <c r="A755"/>
      <c r="B755"/>
      <c r="C755"/>
    </row>
    <row r="756" spans="1:3" x14ac:dyDescent="0.25">
      <c r="A756"/>
      <c r="B756"/>
      <c r="C756"/>
    </row>
    <row r="757" spans="1:3" x14ac:dyDescent="0.25">
      <c r="A757"/>
      <c r="B757"/>
      <c r="C757"/>
    </row>
    <row r="758" spans="1:3" x14ac:dyDescent="0.25">
      <c r="A758"/>
      <c r="B758"/>
      <c r="C758"/>
    </row>
    <row r="759" spans="1:3" x14ac:dyDescent="0.25">
      <c r="A759"/>
      <c r="B759"/>
      <c r="C759"/>
    </row>
    <row r="760" spans="1:3" x14ac:dyDescent="0.25">
      <c r="A760"/>
      <c r="B760"/>
      <c r="C760"/>
    </row>
    <row r="761" spans="1:3" x14ac:dyDescent="0.25">
      <c r="A761"/>
      <c r="B761"/>
      <c r="C761"/>
    </row>
    <row r="762" spans="1:3" x14ac:dyDescent="0.25">
      <c r="A762"/>
      <c r="B762"/>
      <c r="C762"/>
    </row>
    <row r="763" spans="1:3" x14ac:dyDescent="0.25">
      <c r="A763"/>
      <c r="B763"/>
      <c r="C763"/>
    </row>
    <row r="764" spans="1:3" x14ac:dyDescent="0.25">
      <c r="A764"/>
      <c r="B764"/>
      <c r="C764"/>
    </row>
    <row r="765" spans="1:3" x14ac:dyDescent="0.25">
      <c r="A765"/>
      <c r="B765"/>
      <c r="C765"/>
    </row>
    <row r="766" spans="1:3" x14ac:dyDescent="0.25">
      <c r="A766"/>
      <c r="B766"/>
      <c r="C766"/>
    </row>
    <row r="767" spans="1:3" x14ac:dyDescent="0.25">
      <c r="A767"/>
      <c r="B767"/>
      <c r="C767"/>
    </row>
    <row r="768" spans="1:3" x14ac:dyDescent="0.25">
      <c r="A768"/>
      <c r="B768"/>
      <c r="C768"/>
    </row>
    <row r="769" spans="1:3" x14ac:dyDescent="0.25">
      <c r="A769"/>
      <c r="B769"/>
      <c r="C769"/>
    </row>
    <row r="770" spans="1:3" x14ac:dyDescent="0.25">
      <c r="A770"/>
      <c r="B770"/>
      <c r="C770"/>
    </row>
    <row r="771" spans="1:3" x14ac:dyDescent="0.25">
      <c r="A771"/>
      <c r="B771"/>
      <c r="C771"/>
    </row>
    <row r="772" spans="1:3" x14ac:dyDescent="0.25">
      <c r="A772"/>
      <c r="B772"/>
      <c r="C772"/>
    </row>
    <row r="773" spans="1:3" x14ac:dyDescent="0.25">
      <c r="A773"/>
      <c r="B773"/>
      <c r="C773"/>
    </row>
    <row r="774" spans="1:3" x14ac:dyDescent="0.25">
      <c r="A774"/>
      <c r="B774"/>
      <c r="C774"/>
    </row>
    <row r="775" spans="1:3" x14ac:dyDescent="0.25">
      <c r="A775"/>
      <c r="B775"/>
      <c r="C775"/>
    </row>
    <row r="776" spans="1:3" x14ac:dyDescent="0.25">
      <c r="A776"/>
      <c r="B776"/>
      <c r="C776"/>
    </row>
    <row r="777" spans="1:3" x14ac:dyDescent="0.25">
      <c r="A777"/>
      <c r="B777"/>
      <c r="C777"/>
    </row>
    <row r="778" spans="1:3" x14ac:dyDescent="0.25">
      <c r="A778"/>
      <c r="B778"/>
      <c r="C778"/>
    </row>
    <row r="779" spans="1:3" x14ac:dyDescent="0.25">
      <c r="A779"/>
      <c r="B779"/>
      <c r="C779"/>
    </row>
    <row r="780" spans="1:3" x14ac:dyDescent="0.25">
      <c r="A780"/>
      <c r="B780"/>
      <c r="C780"/>
    </row>
    <row r="781" spans="1:3" x14ac:dyDescent="0.25">
      <c r="A781"/>
      <c r="B781"/>
      <c r="C781"/>
    </row>
    <row r="782" spans="1:3" x14ac:dyDescent="0.25">
      <c r="A782"/>
      <c r="B782"/>
      <c r="C782"/>
    </row>
    <row r="783" spans="1:3" x14ac:dyDescent="0.25">
      <c r="A783"/>
      <c r="B783"/>
      <c r="C783"/>
    </row>
    <row r="784" spans="1:3" x14ac:dyDescent="0.25">
      <c r="A784"/>
      <c r="B784"/>
      <c r="C784"/>
    </row>
    <row r="785" spans="1:3" x14ac:dyDescent="0.25">
      <c r="A785"/>
      <c r="B785"/>
      <c r="C785"/>
    </row>
    <row r="786" spans="1:3" x14ac:dyDescent="0.25">
      <c r="A786"/>
      <c r="B786"/>
      <c r="C786"/>
    </row>
    <row r="787" spans="1:3" x14ac:dyDescent="0.25">
      <c r="A787"/>
      <c r="B787"/>
      <c r="C787"/>
    </row>
    <row r="788" spans="1:3" x14ac:dyDescent="0.25">
      <c r="A788"/>
      <c r="B788"/>
      <c r="C788"/>
    </row>
    <row r="789" spans="1:3" x14ac:dyDescent="0.25">
      <c r="A789"/>
      <c r="B789"/>
      <c r="C789"/>
    </row>
    <row r="790" spans="1:3" x14ac:dyDescent="0.25">
      <c r="A790"/>
      <c r="B790"/>
      <c r="C790"/>
    </row>
    <row r="791" spans="1:3" x14ac:dyDescent="0.25">
      <c r="A791"/>
      <c r="B791"/>
      <c r="C791"/>
    </row>
    <row r="792" spans="1:3" x14ac:dyDescent="0.25">
      <c r="A792"/>
      <c r="B792"/>
      <c r="C792"/>
    </row>
    <row r="793" spans="1:3" x14ac:dyDescent="0.25">
      <c r="A793"/>
      <c r="B793"/>
      <c r="C793"/>
    </row>
    <row r="794" spans="1:3" x14ac:dyDescent="0.25">
      <c r="A794"/>
      <c r="B794"/>
      <c r="C794"/>
    </row>
    <row r="795" spans="1:3" x14ac:dyDescent="0.25">
      <c r="A795"/>
      <c r="B795"/>
      <c r="C795"/>
    </row>
    <row r="796" spans="1:3" x14ac:dyDescent="0.25">
      <c r="A796"/>
      <c r="B796"/>
      <c r="C796"/>
    </row>
    <row r="797" spans="1:3" x14ac:dyDescent="0.25">
      <c r="A797"/>
      <c r="B797"/>
      <c r="C797"/>
    </row>
    <row r="798" spans="1:3" x14ac:dyDescent="0.25">
      <c r="A798"/>
      <c r="B798"/>
      <c r="C798"/>
    </row>
    <row r="799" spans="1:3" x14ac:dyDescent="0.25">
      <c r="A799"/>
      <c r="B799"/>
      <c r="C799"/>
    </row>
    <row r="800" spans="1:3" x14ac:dyDescent="0.25">
      <c r="A800"/>
      <c r="B800"/>
      <c r="C800"/>
    </row>
    <row r="801" spans="1:3" x14ac:dyDescent="0.25">
      <c r="A801"/>
      <c r="B801"/>
      <c r="C801"/>
    </row>
    <row r="802" spans="1:3" x14ac:dyDescent="0.25">
      <c r="A802"/>
      <c r="B802"/>
      <c r="C802"/>
    </row>
    <row r="803" spans="1:3" x14ac:dyDescent="0.25">
      <c r="A803"/>
      <c r="B803"/>
      <c r="C803"/>
    </row>
    <row r="804" spans="1:3" x14ac:dyDescent="0.25">
      <c r="A804"/>
      <c r="B804"/>
      <c r="C804"/>
    </row>
    <row r="805" spans="1:3" x14ac:dyDescent="0.25">
      <c r="A805"/>
      <c r="B805"/>
      <c r="C805"/>
    </row>
    <row r="806" spans="1:3" x14ac:dyDescent="0.25">
      <c r="A806"/>
      <c r="B806"/>
      <c r="C806"/>
    </row>
    <row r="807" spans="1:3" x14ac:dyDescent="0.25">
      <c r="A807"/>
      <c r="B807"/>
      <c r="C807"/>
    </row>
    <row r="808" spans="1:3" x14ac:dyDescent="0.25">
      <c r="A808"/>
      <c r="B808"/>
      <c r="C808"/>
    </row>
    <row r="809" spans="1:3" x14ac:dyDescent="0.25">
      <c r="A809"/>
      <c r="B809"/>
      <c r="C809"/>
    </row>
    <row r="810" spans="1:3" x14ac:dyDescent="0.25">
      <c r="A810"/>
      <c r="B810"/>
      <c r="C810"/>
    </row>
    <row r="811" spans="1:3" x14ac:dyDescent="0.25">
      <c r="A811"/>
      <c r="B811"/>
      <c r="C811"/>
    </row>
    <row r="812" spans="1:3" x14ac:dyDescent="0.25">
      <c r="A812"/>
      <c r="B812"/>
      <c r="C812"/>
    </row>
    <row r="813" spans="1:3" x14ac:dyDescent="0.25">
      <c r="A813"/>
      <c r="B813"/>
      <c r="C813"/>
    </row>
    <row r="814" spans="1:3" x14ac:dyDescent="0.25">
      <c r="A814"/>
      <c r="B814"/>
      <c r="C814"/>
    </row>
    <row r="815" spans="1:3" x14ac:dyDescent="0.25">
      <c r="A815"/>
      <c r="B815"/>
      <c r="C815"/>
    </row>
    <row r="816" spans="1:3" x14ac:dyDescent="0.25">
      <c r="A816"/>
      <c r="B816"/>
      <c r="C816"/>
    </row>
    <row r="817" spans="1:3" x14ac:dyDescent="0.25">
      <c r="A817"/>
      <c r="B817"/>
      <c r="C817"/>
    </row>
    <row r="818" spans="1:3" x14ac:dyDescent="0.25">
      <c r="A818"/>
      <c r="B818"/>
      <c r="C818"/>
    </row>
    <row r="819" spans="1:3" x14ac:dyDescent="0.25">
      <c r="A819"/>
      <c r="B819"/>
      <c r="C819"/>
    </row>
    <row r="820" spans="1:3" x14ac:dyDescent="0.25">
      <c r="A820"/>
      <c r="B820"/>
      <c r="C820"/>
    </row>
    <row r="821" spans="1:3" x14ac:dyDescent="0.25">
      <c r="A821"/>
      <c r="B821"/>
      <c r="C821"/>
    </row>
    <row r="822" spans="1:3" x14ac:dyDescent="0.25">
      <c r="A822"/>
      <c r="B822"/>
      <c r="C822"/>
    </row>
    <row r="823" spans="1:3" x14ac:dyDescent="0.25">
      <c r="A823"/>
      <c r="B823"/>
      <c r="C823"/>
    </row>
    <row r="824" spans="1:3" x14ac:dyDescent="0.25">
      <c r="A824"/>
      <c r="B824"/>
      <c r="C824"/>
    </row>
    <row r="825" spans="1:3" x14ac:dyDescent="0.25">
      <c r="A825"/>
      <c r="B825"/>
      <c r="C825"/>
    </row>
    <row r="826" spans="1:3" x14ac:dyDescent="0.25">
      <c r="A826"/>
      <c r="B826"/>
      <c r="C826"/>
    </row>
    <row r="827" spans="1:3" x14ac:dyDescent="0.25">
      <c r="A827"/>
      <c r="B827"/>
      <c r="C827"/>
    </row>
    <row r="828" spans="1:3" x14ac:dyDescent="0.25">
      <c r="A828"/>
      <c r="B828"/>
      <c r="C828"/>
    </row>
    <row r="829" spans="1:3" x14ac:dyDescent="0.25">
      <c r="A829"/>
      <c r="B829"/>
      <c r="C829"/>
    </row>
    <row r="830" spans="1:3" x14ac:dyDescent="0.25">
      <c r="A830"/>
      <c r="B830"/>
      <c r="C830"/>
    </row>
    <row r="831" spans="1:3" x14ac:dyDescent="0.25">
      <c r="A831"/>
      <c r="B831"/>
      <c r="C831"/>
    </row>
    <row r="832" spans="1:3" x14ac:dyDescent="0.25">
      <c r="A832"/>
      <c r="B832"/>
      <c r="C832"/>
    </row>
    <row r="833" spans="1:3" x14ac:dyDescent="0.25">
      <c r="A833"/>
      <c r="B833"/>
      <c r="C833"/>
    </row>
    <row r="834" spans="1:3" x14ac:dyDescent="0.25">
      <c r="A834"/>
      <c r="B834"/>
      <c r="C834"/>
    </row>
    <row r="835" spans="1:3" x14ac:dyDescent="0.25">
      <c r="A835"/>
      <c r="B835"/>
      <c r="C835"/>
    </row>
    <row r="836" spans="1:3" x14ac:dyDescent="0.25">
      <c r="A836"/>
      <c r="B836"/>
      <c r="C836"/>
    </row>
    <row r="837" spans="1:3" x14ac:dyDescent="0.25">
      <c r="A837"/>
      <c r="B837"/>
      <c r="C837"/>
    </row>
    <row r="838" spans="1:3" x14ac:dyDescent="0.25">
      <c r="A838"/>
      <c r="B838"/>
      <c r="C838"/>
    </row>
    <row r="839" spans="1:3" x14ac:dyDescent="0.25">
      <c r="A839"/>
      <c r="B839"/>
      <c r="C839"/>
    </row>
    <row r="840" spans="1:3" x14ac:dyDescent="0.25">
      <c r="A840"/>
      <c r="B840"/>
      <c r="C840"/>
    </row>
    <row r="841" spans="1:3" x14ac:dyDescent="0.25">
      <c r="A841"/>
      <c r="B841"/>
      <c r="C841"/>
    </row>
    <row r="842" spans="1:3" x14ac:dyDescent="0.25">
      <c r="A842"/>
      <c r="B842"/>
      <c r="C842"/>
    </row>
    <row r="843" spans="1:3" x14ac:dyDescent="0.25">
      <c r="A843"/>
      <c r="B843"/>
      <c r="C843"/>
    </row>
    <row r="844" spans="1:3" x14ac:dyDescent="0.25">
      <c r="A844"/>
      <c r="B844"/>
      <c r="C844"/>
    </row>
    <row r="845" spans="1:3" x14ac:dyDescent="0.25">
      <c r="A845"/>
      <c r="B845"/>
      <c r="C845"/>
    </row>
    <row r="846" spans="1:3" x14ac:dyDescent="0.25">
      <c r="A846"/>
      <c r="B846"/>
      <c r="C846"/>
    </row>
    <row r="847" spans="1:3" x14ac:dyDescent="0.25">
      <c r="A847"/>
      <c r="B847"/>
      <c r="C847"/>
    </row>
    <row r="848" spans="1:3" x14ac:dyDescent="0.25">
      <c r="A848"/>
      <c r="B848"/>
      <c r="C848"/>
    </row>
    <row r="849" spans="1:3" x14ac:dyDescent="0.25">
      <c r="A849"/>
      <c r="B849"/>
      <c r="C849"/>
    </row>
    <row r="850" spans="1:3" x14ac:dyDescent="0.25">
      <c r="A850"/>
      <c r="B850"/>
      <c r="C850"/>
    </row>
    <row r="851" spans="1:3" x14ac:dyDescent="0.25">
      <c r="A851"/>
      <c r="B851"/>
      <c r="C851"/>
    </row>
    <row r="852" spans="1:3" x14ac:dyDescent="0.25">
      <c r="A852"/>
      <c r="B852"/>
      <c r="C852"/>
    </row>
    <row r="853" spans="1:3" x14ac:dyDescent="0.25">
      <c r="A853"/>
      <c r="B853"/>
      <c r="C853"/>
    </row>
    <row r="854" spans="1:3" x14ac:dyDescent="0.25">
      <c r="A854"/>
      <c r="B854"/>
      <c r="C854"/>
    </row>
    <row r="855" spans="1:3" x14ac:dyDescent="0.25">
      <c r="A855"/>
      <c r="B855"/>
      <c r="C855"/>
    </row>
    <row r="856" spans="1:3" x14ac:dyDescent="0.25">
      <c r="A856"/>
      <c r="B856"/>
      <c r="C856"/>
    </row>
    <row r="857" spans="1:3" x14ac:dyDescent="0.25">
      <c r="A857"/>
      <c r="B857"/>
      <c r="C857"/>
    </row>
    <row r="858" spans="1:3" x14ac:dyDescent="0.25">
      <c r="A858"/>
      <c r="B858"/>
      <c r="C858"/>
    </row>
    <row r="859" spans="1:3" x14ac:dyDescent="0.25">
      <c r="A859"/>
      <c r="B859"/>
      <c r="C859"/>
    </row>
    <row r="860" spans="1:3" x14ac:dyDescent="0.25">
      <c r="A860"/>
      <c r="B860"/>
      <c r="C860"/>
    </row>
    <row r="861" spans="1:3" x14ac:dyDescent="0.25">
      <c r="A861"/>
      <c r="B861"/>
      <c r="C861"/>
    </row>
    <row r="862" spans="1:3" x14ac:dyDescent="0.25">
      <c r="A862"/>
      <c r="B862"/>
      <c r="C862"/>
    </row>
    <row r="863" spans="1:3" x14ac:dyDescent="0.25">
      <c r="A863"/>
      <c r="B863"/>
      <c r="C863"/>
    </row>
    <row r="864" spans="1:3" x14ac:dyDescent="0.25">
      <c r="A864"/>
      <c r="B864"/>
      <c r="C864"/>
    </row>
    <row r="865" spans="1:3" x14ac:dyDescent="0.25">
      <c r="A865"/>
      <c r="B865"/>
      <c r="C865"/>
    </row>
    <row r="866" spans="1:3" x14ac:dyDescent="0.25">
      <c r="A866"/>
      <c r="B866"/>
      <c r="C866"/>
    </row>
    <row r="867" spans="1:3" x14ac:dyDescent="0.25">
      <c r="A867"/>
      <c r="B867"/>
      <c r="C867"/>
    </row>
    <row r="868" spans="1:3" x14ac:dyDescent="0.25">
      <c r="A868"/>
      <c r="B868"/>
      <c r="C868"/>
    </row>
    <row r="869" spans="1:3" x14ac:dyDescent="0.25">
      <c r="A869"/>
      <c r="B869"/>
      <c r="C869"/>
    </row>
    <row r="870" spans="1:3" x14ac:dyDescent="0.25">
      <c r="A870"/>
      <c r="B870"/>
      <c r="C870"/>
    </row>
    <row r="871" spans="1:3" x14ac:dyDescent="0.25">
      <c r="A871"/>
      <c r="B871"/>
      <c r="C871"/>
    </row>
    <row r="872" spans="1:3" x14ac:dyDescent="0.25">
      <c r="A872"/>
      <c r="B872"/>
      <c r="C872"/>
    </row>
    <row r="873" spans="1:3" x14ac:dyDescent="0.25">
      <c r="A873"/>
      <c r="B873"/>
      <c r="C873"/>
    </row>
    <row r="874" spans="1:3" x14ac:dyDescent="0.25">
      <c r="A874"/>
      <c r="B874"/>
      <c r="C874"/>
    </row>
    <row r="875" spans="1:3" x14ac:dyDescent="0.25">
      <c r="A875"/>
      <c r="B875"/>
      <c r="C875"/>
    </row>
    <row r="876" spans="1:3" x14ac:dyDescent="0.25">
      <c r="A876"/>
      <c r="B876"/>
      <c r="C876"/>
    </row>
    <row r="877" spans="1:3" x14ac:dyDescent="0.25">
      <c r="A877"/>
      <c r="B877"/>
      <c r="C877"/>
    </row>
    <row r="878" spans="1:3" x14ac:dyDescent="0.25">
      <c r="A878"/>
      <c r="B878"/>
      <c r="C878"/>
    </row>
    <row r="879" spans="1:3" x14ac:dyDescent="0.25">
      <c r="A879"/>
      <c r="B879"/>
      <c r="C879"/>
    </row>
    <row r="880" spans="1:3" x14ac:dyDescent="0.25">
      <c r="A880"/>
      <c r="B880"/>
      <c r="C880"/>
    </row>
    <row r="881" spans="1:3" x14ac:dyDescent="0.25">
      <c r="A881"/>
      <c r="B881"/>
      <c r="C881"/>
    </row>
    <row r="882" spans="1:3" x14ac:dyDescent="0.25">
      <c r="A882"/>
      <c r="B882"/>
      <c r="C882"/>
    </row>
    <row r="883" spans="1:3" x14ac:dyDescent="0.25">
      <c r="A883"/>
      <c r="B883"/>
      <c r="C883"/>
    </row>
    <row r="884" spans="1:3" x14ac:dyDescent="0.25">
      <c r="A884"/>
      <c r="B884"/>
      <c r="C884"/>
    </row>
    <row r="885" spans="1:3" x14ac:dyDescent="0.25">
      <c r="A885"/>
      <c r="B885"/>
      <c r="C885"/>
    </row>
    <row r="886" spans="1:3" x14ac:dyDescent="0.25">
      <c r="A886"/>
      <c r="B886"/>
      <c r="C886"/>
    </row>
    <row r="887" spans="1:3" x14ac:dyDescent="0.25">
      <c r="A887"/>
      <c r="B887"/>
      <c r="C887"/>
    </row>
    <row r="888" spans="1:3" x14ac:dyDescent="0.25">
      <c r="A888"/>
      <c r="B888"/>
      <c r="C888"/>
    </row>
    <row r="889" spans="1:3" x14ac:dyDescent="0.25">
      <c r="A889"/>
      <c r="B889"/>
      <c r="C889"/>
    </row>
    <row r="890" spans="1:3" x14ac:dyDescent="0.25">
      <c r="A890"/>
      <c r="B890"/>
      <c r="C890"/>
    </row>
    <row r="891" spans="1:3" x14ac:dyDescent="0.25">
      <c r="A891"/>
      <c r="B891"/>
      <c r="C891"/>
    </row>
    <row r="892" spans="1:3" x14ac:dyDescent="0.25">
      <c r="A892"/>
      <c r="B892"/>
      <c r="C892"/>
    </row>
    <row r="893" spans="1:3" x14ac:dyDescent="0.25">
      <c r="A893"/>
      <c r="B893"/>
      <c r="C893"/>
    </row>
    <row r="894" spans="1:3" x14ac:dyDescent="0.25">
      <c r="A894"/>
      <c r="B894"/>
      <c r="C894"/>
    </row>
    <row r="895" spans="1:3" x14ac:dyDescent="0.25">
      <c r="A895"/>
      <c r="B895"/>
      <c r="C895"/>
    </row>
    <row r="896" spans="1:3" x14ac:dyDescent="0.25">
      <c r="A896"/>
      <c r="B896"/>
      <c r="C896"/>
    </row>
    <row r="897" spans="1:3" x14ac:dyDescent="0.25">
      <c r="A897"/>
      <c r="B897"/>
      <c r="C897"/>
    </row>
    <row r="898" spans="1:3" x14ac:dyDescent="0.25">
      <c r="A898"/>
      <c r="B898"/>
      <c r="C898"/>
    </row>
    <row r="899" spans="1:3" x14ac:dyDescent="0.25">
      <c r="A899"/>
      <c r="B899"/>
      <c r="C899"/>
    </row>
    <row r="900" spans="1:3" x14ac:dyDescent="0.25">
      <c r="A900"/>
      <c r="B900"/>
      <c r="C900"/>
    </row>
    <row r="901" spans="1:3" x14ac:dyDescent="0.25">
      <c r="A901"/>
      <c r="B901"/>
      <c r="C901"/>
    </row>
    <row r="902" spans="1:3" x14ac:dyDescent="0.25">
      <c r="A902"/>
      <c r="B902"/>
      <c r="C902"/>
    </row>
    <row r="903" spans="1:3" x14ac:dyDescent="0.25">
      <c r="A903"/>
      <c r="B903"/>
      <c r="C903"/>
    </row>
    <row r="904" spans="1:3" x14ac:dyDescent="0.25">
      <c r="A904"/>
      <c r="B904"/>
      <c r="C904"/>
    </row>
    <row r="905" spans="1:3" x14ac:dyDescent="0.25">
      <c r="A905"/>
      <c r="B905"/>
      <c r="C905"/>
    </row>
    <row r="906" spans="1:3" x14ac:dyDescent="0.25">
      <c r="A906"/>
      <c r="B906"/>
      <c r="C906"/>
    </row>
    <row r="907" spans="1:3" x14ac:dyDescent="0.25">
      <c r="A907"/>
      <c r="B907"/>
      <c r="C907"/>
    </row>
    <row r="908" spans="1:3" x14ac:dyDescent="0.25">
      <c r="A908"/>
      <c r="B908"/>
      <c r="C908"/>
    </row>
    <row r="909" spans="1:3" x14ac:dyDescent="0.25">
      <c r="A909"/>
      <c r="B909"/>
      <c r="C909"/>
    </row>
    <row r="910" spans="1:3" x14ac:dyDescent="0.25">
      <c r="A910"/>
      <c r="B910"/>
      <c r="C910"/>
    </row>
    <row r="911" spans="1:3" x14ac:dyDescent="0.25">
      <c r="A911"/>
      <c r="B911"/>
      <c r="C911"/>
    </row>
    <row r="912" spans="1:3" x14ac:dyDescent="0.25">
      <c r="A912"/>
      <c r="B912"/>
      <c r="C912"/>
    </row>
    <row r="913" spans="1:3" x14ac:dyDescent="0.25">
      <c r="A913"/>
      <c r="B913"/>
      <c r="C913"/>
    </row>
    <row r="914" spans="1:3" x14ac:dyDescent="0.25">
      <c r="A914"/>
      <c r="B914"/>
      <c r="C914"/>
    </row>
    <row r="915" spans="1:3" x14ac:dyDescent="0.25">
      <c r="A915"/>
      <c r="B915"/>
      <c r="C915"/>
    </row>
    <row r="916" spans="1:3" x14ac:dyDescent="0.25">
      <c r="A916"/>
      <c r="B916"/>
      <c r="C916"/>
    </row>
    <row r="917" spans="1:3" x14ac:dyDescent="0.25">
      <c r="A917"/>
      <c r="B917"/>
      <c r="C917"/>
    </row>
    <row r="918" spans="1:3" x14ac:dyDescent="0.25">
      <c r="A918"/>
      <c r="B918"/>
      <c r="C918"/>
    </row>
    <row r="919" spans="1:3" x14ac:dyDescent="0.25">
      <c r="A919"/>
      <c r="B919"/>
      <c r="C919"/>
    </row>
    <row r="920" spans="1:3" x14ac:dyDescent="0.25">
      <c r="A920"/>
      <c r="B920"/>
      <c r="C920"/>
    </row>
    <row r="921" spans="1:3" x14ac:dyDescent="0.25">
      <c r="A921"/>
      <c r="B921"/>
      <c r="C921"/>
    </row>
    <row r="922" spans="1:3" x14ac:dyDescent="0.25">
      <c r="A922"/>
      <c r="B922"/>
      <c r="C922"/>
    </row>
    <row r="923" spans="1:3" x14ac:dyDescent="0.25">
      <c r="A923"/>
      <c r="B923"/>
      <c r="C923"/>
    </row>
    <row r="924" spans="1:3" x14ac:dyDescent="0.25">
      <c r="A924"/>
      <c r="B924"/>
      <c r="C924"/>
    </row>
    <row r="925" spans="1:3" x14ac:dyDescent="0.25">
      <c r="A925"/>
      <c r="B925"/>
      <c r="C925"/>
    </row>
    <row r="926" spans="1:3" x14ac:dyDescent="0.25">
      <c r="A926"/>
      <c r="B926"/>
      <c r="C926"/>
    </row>
    <row r="927" spans="1:3" x14ac:dyDescent="0.25">
      <c r="A927"/>
      <c r="B927"/>
      <c r="C927"/>
    </row>
    <row r="928" spans="1:3" x14ac:dyDescent="0.25">
      <c r="A928"/>
      <c r="B928"/>
      <c r="C928"/>
    </row>
    <row r="929" spans="1:3" x14ac:dyDescent="0.25">
      <c r="A929"/>
      <c r="B929"/>
      <c r="C929"/>
    </row>
    <row r="930" spans="1:3" x14ac:dyDescent="0.25">
      <c r="A930"/>
      <c r="B930"/>
      <c r="C930"/>
    </row>
    <row r="931" spans="1:3" x14ac:dyDescent="0.25">
      <c r="A931"/>
      <c r="B931"/>
      <c r="C931"/>
    </row>
    <row r="932" spans="1:3" x14ac:dyDescent="0.25">
      <c r="A932"/>
      <c r="B932"/>
      <c r="C932"/>
    </row>
    <row r="933" spans="1:3" x14ac:dyDescent="0.25">
      <c r="A933"/>
      <c r="B933"/>
      <c r="C933"/>
    </row>
    <row r="934" spans="1:3" x14ac:dyDescent="0.25">
      <c r="A934"/>
      <c r="B934"/>
      <c r="C934"/>
    </row>
    <row r="935" spans="1:3" x14ac:dyDescent="0.25">
      <c r="A935"/>
      <c r="B935"/>
      <c r="C935"/>
    </row>
    <row r="936" spans="1:3" x14ac:dyDescent="0.25">
      <c r="A936"/>
      <c r="B936"/>
      <c r="C936"/>
    </row>
    <row r="937" spans="1:3" x14ac:dyDescent="0.25">
      <c r="A937"/>
      <c r="B937"/>
      <c r="C937"/>
    </row>
    <row r="938" spans="1:3" x14ac:dyDescent="0.25">
      <c r="A938"/>
      <c r="B938"/>
      <c r="C938"/>
    </row>
    <row r="939" spans="1:3" x14ac:dyDescent="0.25">
      <c r="A939"/>
      <c r="B939"/>
      <c r="C939"/>
    </row>
    <row r="940" spans="1:3" x14ac:dyDescent="0.25">
      <c r="A940"/>
      <c r="B940"/>
      <c r="C940"/>
    </row>
    <row r="941" spans="1:3" x14ac:dyDescent="0.25">
      <c r="A941"/>
      <c r="B941"/>
      <c r="C941"/>
    </row>
    <row r="942" spans="1:3" x14ac:dyDescent="0.25">
      <c r="A942"/>
      <c r="B942"/>
      <c r="C942"/>
    </row>
    <row r="943" spans="1:3" x14ac:dyDescent="0.25">
      <c r="A943"/>
      <c r="B943"/>
      <c r="C943"/>
    </row>
    <row r="944" spans="1:3" x14ac:dyDescent="0.25">
      <c r="A944"/>
      <c r="B944"/>
      <c r="C944"/>
    </row>
    <row r="945" spans="1:3" x14ac:dyDescent="0.25">
      <c r="A945"/>
      <c r="B945"/>
      <c r="C945"/>
    </row>
    <row r="946" spans="1:3" x14ac:dyDescent="0.25">
      <c r="A946"/>
      <c r="B946"/>
      <c r="C946"/>
    </row>
    <row r="947" spans="1:3" x14ac:dyDescent="0.25">
      <c r="A947"/>
      <c r="B947"/>
      <c r="C947"/>
    </row>
    <row r="948" spans="1:3" x14ac:dyDescent="0.25">
      <c r="A948"/>
      <c r="B948"/>
      <c r="C948"/>
    </row>
    <row r="949" spans="1:3" x14ac:dyDescent="0.25">
      <c r="A949"/>
      <c r="B949"/>
      <c r="C949"/>
    </row>
    <row r="950" spans="1:3" x14ac:dyDescent="0.25">
      <c r="A950"/>
      <c r="B950"/>
      <c r="C950"/>
    </row>
    <row r="951" spans="1:3" x14ac:dyDescent="0.25">
      <c r="A951"/>
      <c r="B951"/>
      <c r="C951"/>
    </row>
    <row r="952" spans="1:3" x14ac:dyDescent="0.25">
      <c r="A952"/>
      <c r="B952"/>
      <c r="C952"/>
    </row>
    <row r="953" spans="1:3" x14ac:dyDescent="0.25">
      <c r="A953"/>
      <c r="B953"/>
      <c r="C953"/>
    </row>
    <row r="954" spans="1:3" x14ac:dyDescent="0.25">
      <c r="A954"/>
      <c r="B954"/>
      <c r="C954"/>
    </row>
    <row r="955" spans="1:3" x14ac:dyDescent="0.25">
      <c r="A955"/>
      <c r="B955"/>
      <c r="C955"/>
    </row>
    <row r="956" spans="1:3" x14ac:dyDescent="0.25">
      <c r="A956"/>
      <c r="B956"/>
      <c r="C956"/>
    </row>
    <row r="957" spans="1:3" x14ac:dyDescent="0.25">
      <c r="A957"/>
      <c r="B957"/>
      <c r="C957"/>
    </row>
    <row r="958" spans="1:3" x14ac:dyDescent="0.25">
      <c r="A958"/>
      <c r="B958"/>
      <c r="C958"/>
    </row>
    <row r="959" spans="1:3" x14ac:dyDescent="0.25">
      <c r="A959"/>
      <c r="B959"/>
      <c r="C959"/>
    </row>
    <row r="960" spans="1:3" x14ac:dyDescent="0.25">
      <c r="A960"/>
      <c r="B960"/>
      <c r="C960"/>
    </row>
    <row r="961" spans="1:3" x14ac:dyDescent="0.25">
      <c r="A961"/>
      <c r="B961"/>
      <c r="C961"/>
    </row>
    <row r="962" spans="1:3" x14ac:dyDescent="0.25">
      <c r="A962"/>
      <c r="B962"/>
      <c r="C962"/>
    </row>
    <row r="963" spans="1:3" x14ac:dyDescent="0.25">
      <c r="A963"/>
      <c r="B963"/>
      <c r="C963"/>
    </row>
    <row r="964" spans="1:3" x14ac:dyDescent="0.25">
      <c r="A964"/>
      <c r="B964"/>
      <c r="C964"/>
    </row>
    <row r="965" spans="1:3" x14ac:dyDescent="0.25">
      <c r="A965"/>
      <c r="B965"/>
      <c r="C965"/>
    </row>
    <row r="966" spans="1:3" x14ac:dyDescent="0.25">
      <c r="A966"/>
      <c r="B966"/>
      <c r="C966"/>
    </row>
    <row r="967" spans="1:3" x14ac:dyDescent="0.25">
      <c r="A967"/>
      <c r="B967"/>
      <c r="C967"/>
    </row>
    <row r="968" spans="1:3" x14ac:dyDescent="0.25">
      <c r="A968"/>
      <c r="B968"/>
      <c r="C968"/>
    </row>
    <row r="969" spans="1:3" x14ac:dyDescent="0.25">
      <c r="A969"/>
      <c r="B969"/>
      <c r="C969"/>
    </row>
    <row r="970" spans="1:3" x14ac:dyDescent="0.25">
      <c r="A970"/>
      <c r="B970"/>
      <c r="C970"/>
    </row>
    <row r="971" spans="1:3" x14ac:dyDescent="0.25">
      <c r="A971"/>
      <c r="B971"/>
      <c r="C971"/>
    </row>
    <row r="972" spans="1:3" x14ac:dyDescent="0.25">
      <c r="A972"/>
      <c r="B972"/>
      <c r="C972"/>
    </row>
    <row r="973" spans="1:3" x14ac:dyDescent="0.25">
      <c r="A973"/>
      <c r="B973"/>
      <c r="C973"/>
    </row>
    <row r="974" spans="1:3" x14ac:dyDescent="0.25">
      <c r="A974"/>
      <c r="B974"/>
      <c r="C974"/>
    </row>
    <row r="975" spans="1:3" x14ac:dyDescent="0.25">
      <c r="A975"/>
      <c r="B975"/>
      <c r="C975"/>
    </row>
    <row r="976" spans="1:3" x14ac:dyDescent="0.25">
      <c r="A976"/>
      <c r="B976"/>
      <c r="C976"/>
    </row>
    <row r="977" spans="1:3" x14ac:dyDescent="0.25">
      <c r="A977"/>
      <c r="B977"/>
      <c r="C977"/>
    </row>
    <row r="978" spans="1:3" x14ac:dyDescent="0.25">
      <c r="A978"/>
      <c r="B978"/>
      <c r="C978"/>
    </row>
    <row r="979" spans="1:3" x14ac:dyDescent="0.25">
      <c r="A979"/>
      <c r="B979"/>
      <c r="C979"/>
    </row>
    <row r="980" spans="1:3" x14ac:dyDescent="0.25">
      <c r="A980"/>
      <c r="B980"/>
      <c r="C980"/>
    </row>
    <row r="981" spans="1:3" x14ac:dyDescent="0.25">
      <c r="A981"/>
      <c r="B981"/>
      <c r="C981"/>
    </row>
    <row r="982" spans="1:3" x14ac:dyDescent="0.25">
      <c r="A982"/>
      <c r="B982"/>
      <c r="C982"/>
    </row>
    <row r="983" spans="1:3" x14ac:dyDescent="0.25">
      <c r="A983"/>
      <c r="B983"/>
      <c r="C983"/>
    </row>
    <row r="984" spans="1:3" x14ac:dyDescent="0.25">
      <c r="A984"/>
      <c r="B984"/>
      <c r="C984"/>
    </row>
    <row r="985" spans="1:3" x14ac:dyDescent="0.25">
      <c r="A985"/>
      <c r="B985"/>
      <c r="C985"/>
    </row>
    <row r="986" spans="1:3" x14ac:dyDescent="0.25">
      <c r="A986"/>
      <c r="B986"/>
      <c r="C986"/>
    </row>
    <row r="987" spans="1:3" x14ac:dyDescent="0.25">
      <c r="A987"/>
      <c r="B987"/>
      <c r="C987"/>
    </row>
    <row r="988" spans="1:3" x14ac:dyDescent="0.25">
      <c r="A988"/>
      <c r="B988"/>
      <c r="C988"/>
    </row>
    <row r="989" spans="1:3" x14ac:dyDescent="0.25">
      <c r="A989"/>
      <c r="B989"/>
      <c r="C989"/>
    </row>
    <row r="990" spans="1:3" x14ac:dyDescent="0.25">
      <c r="A990"/>
      <c r="B990"/>
      <c r="C990"/>
    </row>
    <row r="991" spans="1:3" x14ac:dyDescent="0.25">
      <c r="A991"/>
      <c r="B991"/>
      <c r="C991"/>
    </row>
    <row r="992" spans="1:3" x14ac:dyDescent="0.25">
      <c r="A992"/>
      <c r="B992"/>
      <c r="C992"/>
    </row>
    <row r="993" spans="1:3" x14ac:dyDescent="0.25">
      <c r="A993"/>
      <c r="B993"/>
      <c r="C993"/>
    </row>
    <row r="994" spans="1:3" x14ac:dyDescent="0.25">
      <c r="A994"/>
      <c r="B994"/>
      <c r="C994"/>
    </row>
    <row r="995" spans="1:3" x14ac:dyDescent="0.25">
      <c r="A995"/>
      <c r="B995"/>
      <c r="C995"/>
    </row>
    <row r="996" spans="1:3" x14ac:dyDescent="0.25">
      <c r="A996"/>
      <c r="B996"/>
      <c r="C996"/>
    </row>
    <row r="997" spans="1:3" x14ac:dyDescent="0.25">
      <c r="A997"/>
      <c r="B997"/>
      <c r="C997"/>
    </row>
    <row r="998" spans="1:3" x14ac:dyDescent="0.25">
      <c r="A998"/>
      <c r="B998"/>
      <c r="C998"/>
    </row>
    <row r="999" spans="1:3" x14ac:dyDescent="0.25">
      <c r="A999"/>
      <c r="B999"/>
      <c r="C999"/>
    </row>
    <row r="1000" spans="1:3" x14ac:dyDescent="0.25">
      <c r="A1000"/>
      <c r="B1000"/>
      <c r="C1000"/>
    </row>
    <row r="1001" spans="1:3" x14ac:dyDescent="0.25">
      <c r="A1001"/>
      <c r="B1001"/>
      <c r="C1001"/>
    </row>
    <row r="1002" spans="1:3" x14ac:dyDescent="0.25">
      <c r="A1002"/>
      <c r="B1002"/>
      <c r="C1002"/>
    </row>
    <row r="1003" spans="1:3" x14ac:dyDescent="0.25">
      <c r="A1003"/>
      <c r="B1003"/>
      <c r="C1003"/>
    </row>
    <row r="1004" spans="1:3" x14ac:dyDescent="0.25">
      <c r="A1004"/>
      <c r="B1004"/>
      <c r="C1004"/>
    </row>
  </sheetData>
  <autoFilter ref="A6:C6">
    <sortState ref="A7:C29">
      <sortCondition descending="1" ref="B6"/>
    </sortState>
  </autoFilter>
  <dataConsolidate/>
  <hyperlinks>
    <hyperlink ref="A1" location="Home!A1" display="Home"/>
    <hyperlink ref="A2" location="Content!A3" display="Update Content"/>
  </hyperlinks>
  <pageMargins left="0.17" right="0.25" top="0.33" bottom="0.35" header="0.22" footer="0.16"/>
  <pageSetup orientation="landscape" r:id="rId1"/>
  <headerFooter alignWithMargins="0">
    <oddFooter>&amp;C&amp;P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_ChangeLog">
    <tabColor theme="0" tint="-0.14999847407452621"/>
  </sheetPr>
  <dimension ref="A1:E10"/>
  <sheetViews>
    <sheetView workbookViewId="0"/>
  </sheetViews>
  <sheetFormatPr baseColWidth="10" defaultColWidth="9.21875" defaultRowHeight="13.2" x14ac:dyDescent="0.25"/>
  <cols>
    <col min="1" max="1" width="10.21875" style="1" bestFit="1" customWidth="1"/>
    <col min="2" max="3" width="11.5546875" style="1" customWidth="1"/>
    <col min="4" max="4" width="14.5546875" style="1" bestFit="1" customWidth="1"/>
    <col min="5" max="5" width="78.5546875" style="2" customWidth="1"/>
    <col min="6" max="16384" width="9.21875" style="1"/>
  </cols>
  <sheetData>
    <row r="1" spans="1:5" s="20" customFormat="1" x14ac:dyDescent="0.25">
      <c r="A1" s="31" t="s">
        <v>307</v>
      </c>
    </row>
    <row r="2" spans="1:5" s="20" customFormat="1" x14ac:dyDescent="0.25">
      <c r="A2" s="31"/>
    </row>
    <row r="3" spans="1:5" s="20" customFormat="1" ht="17.399999999999999" x14ac:dyDescent="0.25">
      <c r="A3" s="114" t="s">
        <v>367</v>
      </c>
      <c r="B3" s="114"/>
    </row>
    <row r="4" spans="1:5" s="20" customFormat="1" ht="17.399999999999999" x14ac:dyDescent="0.25">
      <c r="A4" s="3"/>
    </row>
    <row r="5" spans="1:5" x14ac:dyDescent="0.25">
      <c r="A5" s="27" t="s">
        <v>2</v>
      </c>
      <c r="B5" s="27" t="s">
        <v>25</v>
      </c>
      <c r="C5" s="27" t="s">
        <v>30</v>
      </c>
      <c r="D5" s="27" t="s">
        <v>1</v>
      </c>
      <c r="E5" s="27" t="s">
        <v>7</v>
      </c>
    </row>
    <row r="6" spans="1:5" x14ac:dyDescent="0.25">
      <c r="A6" s="6">
        <v>43466</v>
      </c>
      <c r="B6" s="1">
        <v>1</v>
      </c>
      <c r="C6" s="1" t="s">
        <v>33</v>
      </c>
      <c r="D6" s="1" t="s">
        <v>43</v>
      </c>
      <c r="E6" s="1" t="s">
        <v>0</v>
      </c>
    </row>
    <row r="7" spans="1:5" x14ac:dyDescent="0.25">
      <c r="A7" s="6"/>
      <c r="E7" s="1"/>
    </row>
    <row r="8" spans="1:5" x14ac:dyDescent="0.25">
      <c r="A8" s="6"/>
      <c r="C8" s="7"/>
      <c r="D8" s="7"/>
      <c r="E8" s="7"/>
    </row>
    <row r="9" spans="1:5" x14ac:dyDescent="0.25">
      <c r="A9" s="6"/>
      <c r="D9" s="7"/>
      <c r="E9" s="8"/>
    </row>
    <row r="10" spans="1:5" x14ac:dyDescent="0.25">
      <c r="A10" s="6"/>
      <c r="D10" s="7"/>
      <c r="E10" s="8"/>
    </row>
  </sheetData>
  <mergeCells count="1">
    <mergeCell ref="A3:B3"/>
  </mergeCells>
  <phoneticPr fontId="3" type="noConversion"/>
  <hyperlinks>
    <hyperlink ref="A1" location="Home!A1" display="Home"/>
  </hyperlinks>
  <pageMargins left="0.78740157499999996" right="0.78740157499999996" top="0.984251969" bottom="0.984251969"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_Schema">
    <tabColor theme="0" tint="-0.249977111117893"/>
  </sheetPr>
  <dimension ref="A1:B39"/>
  <sheetViews>
    <sheetView workbookViewId="0"/>
  </sheetViews>
  <sheetFormatPr baseColWidth="10" defaultColWidth="9.21875" defaultRowHeight="13.2" x14ac:dyDescent="0.25"/>
  <cols>
    <col min="1" max="1" width="16.21875" style="1" customWidth="1"/>
    <col min="2" max="2" width="87.5546875" style="1" customWidth="1"/>
    <col min="3" max="16384" width="9.21875" style="1"/>
  </cols>
  <sheetData>
    <row r="1" spans="1:2" s="20" customFormat="1" x14ac:dyDescent="0.25">
      <c r="A1" s="31" t="s">
        <v>307</v>
      </c>
    </row>
    <row r="2" spans="1:2" s="20" customFormat="1" x14ac:dyDescent="0.25">
      <c r="A2" s="31"/>
    </row>
    <row r="3" spans="1:2" s="20" customFormat="1" ht="17.399999999999999" x14ac:dyDescent="0.25">
      <c r="A3" s="114" t="s">
        <v>34</v>
      </c>
      <c r="B3" s="114"/>
    </row>
    <row r="4" spans="1:2" s="20" customFormat="1" ht="17.399999999999999" x14ac:dyDescent="0.25">
      <c r="A4" s="3"/>
    </row>
    <row r="5" spans="1:2" ht="40.5" customHeight="1" x14ac:dyDescent="0.25">
      <c r="A5" s="115" t="s">
        <v>375</v>
      </c>
      <c r="B5" s="115"/>
    </row>
    <row r="7" spans="1:2" x14ac:dyDescent="0.25">
      <c r="A7" s="27" t="s">
        <v>34</v>
      </c>
      <c r="B7" s="28"/>
    </row>
    <row r="8" spans="1:2" x14ac:dyDescent="0.25">
      <c r="A8" s="28"/>
      <c r="B8" s="28"/>
    </row>
    <row r="9" spans="1:2" x14ac:dyDescent="0.25">
      <c r="A9" s="27" t="s">
        <v>35</v>
      </c>
      <c r="B9" s="27" t="s">
        <v>7</v>
      </c>
    </row>
    <row r="10" spans="1:2" x14ac:dyDescent="0.25">
      <c r="A10" s="36" t="s">
        <v>112</v>
      </c>
      <c r="B10" s="29" t="s">
        <v>150</v>
      </c>
    </row>
    <row r="11" spans="1:2" x14ac:dyDescent="0.25">
      <c r="A11" s="39" t="s">
        <v>130</v>
      </c>
      <c r="B11" s="29" t="s">
        <v>148</v>
      </c>
    </row>
    <row r="12" spans="1:2" x14ac:dyDescent="0.25">
      <c r="A12" s="38" t="s">
        <v>131</v>
      </c>
      <c r="B12" s="29" t="s">
        <v>149</v>
      </c>
    </row>
    <row r="13" spans="1:2" x14ac:dyDescent="0.25">
      <c r="A13" s="40" t="s">
        <v>142</v>
      </c>
      <c r="B13" s="29" t="s">
        <v>36</v>
      </c>
    </row>
    <row r="14" spans="1:2" x14ac:dyDescent="0.25">
      <c r="A14" s="37" t="s">
        <v>146</v>
      </c>
      <c r="B14" s="29" t="s">
        <v>147</v>
      </c>
    </row>
    <row r="15" spans="1:2" x14ac:dyDescent="0.25">
      <c r="A15" s="41" t="s">
        <v>224</v>
      </c>
      <c r="B15" s="29" t="s">
        <v>373</v>
      </c>
    </row>
    <row r="16" spans="1:2" x14ac:dyDescent="0.25">
      <c r="A16" s="70" t="s">
        <v>374</v>
      </c>
      <c r="B16" s="29" t="s">
        <v>372</v>
      </c>
    </row>
    <row r="17" spans="1:2" x14ac:dyDescent="0.25">
      <c r="A17" s="81" t="s">
        <v>395</v>
      </c>
      <c r="B17" s="29" t="s">
        <v>396</v>
      </c>
    </row>
    <row r="18" spans="1:2" x14ac:dyDescent="0.25">
      <c r="A18" s="29"/>
      <c r="B18" s="29"/>
    </row>
    <row r="19" spans="1:2" x14ac:dyDescent="0.25">
      <c r="A19" s="29"/>
      <c r="B19" s="29"/>
    </row>
    <row r="20" spans="1:2" x14ac:dyDescent="0.25">
      <c r="A20" s="29"/>
      <c r="B20" s="29"/>
    </row>
    <row r="21" spans="1:2" x14ac:dyDescent="0.25">
      <c r="A21" s="29"/>
      <c r="B21" s="29"/>
    </row>
    <row r="22" spans="1:2" x14ac:dyDescent="0.25">
      <c r="A22" s="29"/>
      <c r="B22" s="29"/>
    </row>
    <row r="23" spans="1:2" x14ac:dyDescent="0.25">
      <c r="A23" s="29"/>
      <c r="B23" s="29"/>
    </row>
    <row r="24" spans="1:2" x14ac:dyDescent="0.25">
      <c r="A24" s="29"/>
      <c r="B24" s="29"/>
    </row>
    <row r="25" spans="1:2" x14ac:dyDescent="0.25">
      <c r="A25" s="29"/>
      <c r="B25" s="29"/>
    </row>
    <row r="26" spans="1:2" x14ac:dyDescent="0.25">
      <c r="A26" s="29"/>
      <c r="B26" s="29"/>
    </row>
    <row r="27" spans="1:2" x14ac:dyDescent="0.25">
      <c r="A27" s="29"/>
      <c r="B27" s="29"/>
    </row>
    <row r="28" spans="1:2" x14ac:dyDescent="0.25">
      <c r="A28" s="29"/>
      <c r="B28" s="29"/>
    </row>
    <row r="29" spans="1:2" x14ac:dyDescent="0.25">
      <c r="A29" s="29"/>
      <c r="B29" s="29"/>
    </row>
    <row r="30" spans="1:2" x14ac:dyDescent="0.25">
      <c r="A30" s="29"/>
      <c r="B30" s="29"/>
    </row>
    <row r="31" spans="1:2" x14ac:dyDescent="0.25">
      <c r="A31" s="29"/>
      <c r="B31" s="29"/>
    </row>
    <row r="32" spans="1:2" x14ac:dyDescent="0.25">
      <c r="A32" s="29"/>
      <c r="B32" s="29"/>
    </row>
    <row r="33" spans="1:2" x14ac:dyDescent="0.25">
      <c r="A33" s="29"/>
      <c r="B33" s="29"/>
    </row>
    <row r="34" spans="1:2" x14ac:dyDescent="0.25">
      <c r="A34" s="29"/>
      <c r="B34" s="29"/>
    </row>
    <row r="35" spans="1:2" x14ac:dyDescent="0.25">
      <c r="A35" s="29"/>
      <c r="B35" s="29"/>
    </row>
    <row r="36" spans="1:2" x14ac:dyDescent="0.25">
      <c r="A36" s="29"/>
      <c r="B36" s="29"/>
    </row>
    <row r="37" spans="1:2" x14ac:dyDescent="0.25">
      <c r="A37" s="29"/>
      <c r="B37" s="29"/>
    </row>
    <row r="38" spans="1:2" x14ac:dyDescent="0.25">
      <c r="A38" s="29"/>
      <c r="B38" s="29"/>
    </row>
    <row r="39" spans="1:2" x14ac:dyDescent="0.25">
      <c r="A39" s="29"/>
      <c r="B39" s="29"/>
    </row>
  </sheetData>
  <mergeCells count="2">
    <mergeCell ref="A3:B3"/>
    <mergeCell ref="A5:B5"/>
  </mergeCells>
  <hyperlinks>
    <hyperlink ref="A1" location="Home!A1" display="Home"/>
  </hyperlink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2">
    <tabColor rgb="FFEEECE1"/>
  </sheetPr>
  <dimension ref="A1:U26"/>
  <sheetViews>
    <sheetView workbookViewId="0">
      <selection activeCell="A24" sqref="A24"/>
    </sheetView>
  </sheetViews>
  <sheetFormatPr baseColWidth="10" defaultColWidth="9.21875" defaultRowHeight="13.2" x14ac:dyDescent="0.25"/>
  <cols>
    <col min="1" max="1" width="25" style="10" customWidth="1"/>
    <col min="2" max="2" width="26.5546875" style="10" customWidth="1"/>
    <col min="3" max="3" width="11.5546875" style="10" customWidth="1"/>
    <col min="4" max="4" width="23.4414062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9.21875" style="10" customWidth="1"/>
    <col min="16" max="16" width="10.44140625" style="10" customWidth="1"/>
    <col min="17" max="17" width="12" style="10" bestFit="1" customWidth="1"/>
    <col min="18" max="18" width="13.5546875" style="10" bestFit="1" customWidth="1"/>
    <col min="19" max="19" width="20.5546875" style="10" bestFit="1" customWidth="1"/>
    <col min="20" max="20" width="14.21875" style="10" customWidth="1"/>
    <col min="21" max="16384" width="9.21875" style="10"/>
  </cols>
  <sheetData>
    <row r="1" spans="1:21" x14ac:dyDescent="0.25">
      <c r="A1" s="72" t="s">
        <v>28</v>
      </c>
      <c r="B1" s="5" t="s">
        <v>112</v>
      </c>
      <c r="C1" s="34" t="s">
        <v>312</v>
      </c>
      <c r="D1" s="23"/>
      <c r="E1" s="23"/>
      <c r="F1" s="23"/>
      <c r="G1" s="23"/>
      <c r="H1" s="23"/>
      <c r="I1" s="23"/>
      <c r="J1" s="23"/>
      <c r="K1" s="23"/>
      <c r="L1" s="23"/>
      <c r="M1" s="23"/>
      <c r="N1" s="23"/>
      <c r="O1" s="23"/>
      <c r="P1" s="23"/>
      <c r="Q1" s="23"/>
      <c r="R1" s="23"/>
      <c r="S1" s="23"/>
      <c r="T1" s="23"/>
    </row>
    <row r="2" spans="1:21" x14ac:dyDescent="0.25">
      <c r="A2" s="72" t="s">
        <v>3</v>
      </c>
      <c r="B2" s="25" t="s">
        <v>501</v>
      </c>
      <c r="C2" s="34" t="s">
        <v>313</v>
      </c>
      <c r="D2" s="23"/>
      <c r="E2" s="23"/>
      <c r="F2" s="23"/>
      <c r="G2" s="23"/>
      <c r="H2" s="23"/>
      <c r="I2" s="23"/>
      <c r="J2" s="23"/>
      <c r="K2" s="23"/>
      <c r="L2" s="23"/>
      <c r="M2" s="23"/>
      <c r="N2" s="23"/>
      <c r="O2" s="23"/>
      <c r="P2" s="23"/>
      <c r="Q2" s="23"/>
      <c r="R2" s="23"/>
      <c r="S2" s="23"/>
      <c r="T2" s="23"/>
    </row>
    <row r="3" spans="1:21" s="1" customFormat="1" x14ac:dyDescent="0.25">
      <c r="A3" s="73" t="s">
        <v>29</v>
      </c>
      <c r="B3" s="25" t="s">
        <v>502</v>
      </c>
      <c r="C3" s="35" t="s">
        <v>335</v>
      </c>
      <c r="D3" s="24"/>
      <c r="E3" s="23"/>
      <c r="F3" s="23"/>
      <c r="G3" s="23"/>
      <c r="H3" s="23"/>
      <c r="I3" s="23"/>
      <c r="J3" s="23"/>
      <c r="K3" s="23"/>
      <c r="L3" s="23"/>
      <c r="M3" s="23"/>
      <c r="N3" s="23"/>
      <c r="O3" s="23"/>
      <c r="P3" s="23"/>
      <c r="Q3" s="23"/>
      <c r="R3" s="23"/>
      <c r="S3" s="23"/>
      <c r="T3" s="23"/>
    </row>
    <row r="4" spans="1:21" s="1" customFormat="1" x14ac:dyDescent="0.25">
      <c r="A4" s="73" t="s">
        <v>305</v>
      </c>
      <c r="B4" s="5" t="s">
        <v>306</v>
      </c>
      <c r="C4" s="35" t="s">
        <v>311</v>
      </c>
      <c r="D4" s="24"/>
      <c r="E4" s="23"/>
      <c r="F4" s="23"/>
      <c r="G4" s="23"/>
      <c r="H4" s="23"/>
      <c r="I4" s="23"/>
      <c r="J4" s="23"/>
      <c r="K4" s="23"/>
      <c r="L4" s="23"/>
      <c r="M4" s="23"/>
      <c r="N4" s="23"/>
      <c r="O4" s="23"/>
      <c r="P4" s="23"/>
      <c r="Q4" s="23"/>
      <c r="R4" s="23"/>
      <c r="S4" s="23"/>
      <c r="T4" s="23"/>
    </row>
    <row r="5" spans="1:21" s="1" customFormat="1" x14ac:dyDescent="0.25">
      <c r="A5" s="73" t="s">
        <v>333</v>
      </c>
      <c r="B5" s="7" t="s">
        <v>20</v>
      </c>
      <c r="C5" s="35" t="s">
        <v>334</v>
      </c>
      <c r="D5" s="24"/>
      <c r="E5" s="23"/>
      <c r="F5" s="23"/>
      <c r="G5" s="23"/>
      <c r="H5" s="23"/>
      <c r="I5" s="23"/>
      <c r="J5" s="23"/>
      <c r="K5" s="23"/>
      <c r="L5" s="23"/>
      <c r="M5" s="23"/>
      <c r="N5" s="23"/>
      <c r="O5" s="23"/>
      <c r="P5" s="23"/>
      <c r="Q5" s="23"/>
      <c r="R5" s="23"/>
      <c r="S5" s="23"/>
      <c r="T5" s="23"/>
    </row>
    <row r="6" spans="1:21" s="1" customFormat="1" x14ac:dyDescent="0.25">
      <c r="A6" s="73"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x14ac:dyDescent="0.25">
      <c r="A8" s="74"/>
      <c r="B8" s="74"/>
      <c r="C8" s="74"/>
      <c r="D8" s="75"/>
      <c r="E8" s="75"/>
      <c r="F8" s="116" t="s">
        <v>8</v>
      </c>
      <c r="G8" s="117"/>
      <c r="H8" s="117"/>
      <c r="I8" s="117"/>
      <c r="J8" s="117"/>
      <c r="K8" s="117"/>
      <c r="L8" s="117"/>
      <c r="M8" s="117"/>
      <c r="N8" s="117"/>
      <c r="O8" s="118"/>
      <c r="P8" s="119" t="s">
        <v>9</v>
      </c>
      <c r="Q8" s="120"/>
      <c r="R8" s="120"/>
      <c r="S8" s="120"/>
      <c r="T8" s="121"/>
    </row>
    <row r="9" spans="1:21" s="4" customFormat="1" ht="26.4" x14ac:dyDescent="0.25">
      <c r="A9" s="42" t="s">
        <v>4</v>
      </c>
      <c r="B9" s="42" t="s">
        <v>26</v>
      </c>
      <c r="C9" s="42" t="s">
        <v>7</v>
      </c>
      <c r="D9" s="42" t="s">
        <v>10</v>
      </c>
      <c r="E9" s="42" t="s">
        <v>13</v>
      </c>
      <c r="F9" s="76" t="s">
        <v>11</v>
      </c>
      <c r="G9" s="77" t="s">
        <v>6</v>
      </c>
      <c r="H9" s="77" t="s">
        <v>12</v>
      </c>
      <c r="I9" s="77" t="s">
        <v>87</v>
      </c>
      <c r="J9" s="77" t="s">
        <v>308</v>
      </c>
      <c r="K9" s="77" t="s">
        <v>309</v>
      </c>
      <c r="L9" s="77" t="s">
        <v>14</v>
      </c>
      <c r="M9" s="77" t="s">
        <v>287</v>
      </c>
      <c r="N9" s="77" t="s">
        <v>385</v>
      </c>
      <c r="O9" s="78" t="s">
        <v>15</v>
      </c>
      <c r="P9" s="79" t="s">
        <v>21</v>
      </c>
      <c r="Q9" s="77" t="s">
        <v>22</v>
      </c>
      <c r="R9" s="77" t="s">
        <v>23</v>
      </c>
      <c r="S9" s="77" t="s">
        <v>24</v>
      </c>
      <c r="T9" s="78" t="s">
        <v>16</v>
      </c>
    </row>
    <row r="10" spans="1:21" x14ac:dyDescent="0.25">
      <c r="A10" s="7" t="s">
        <v>410</v>
      </c>
      <c r="B10" s="5"/>
      <c r="D10" s="91" t="s">
        <v>425</v>
      </c>
      <c r="F10" s="14" t="s">
        <v>39</v>
      </c>
      <c r="G10" s="15" t="s">
        <v>40</v>
      </c>
      <c r="H10" s="16"/>
      <c r="I10" s="15"/>
      <c r="J10" s="15"/>
      <c r="K10" s="15"/>
      <c r="L10" s="15"/>
      <c r="M10" s="15" t="s">
        <v>20</v>
      </c>
      <c r="N10" s="15"/>
      <c r="O10" s="16"/>
      <c r="P10" s="17"/>
      <c r="Q10" s="18"/>
      <c r="R10" s="19"/>
      <c r="S10" s="19"/>
      <c r="T10" s="18"/>
      <c r="U10" s="9"/>
    </row>
    <row r="11" spans="1:21" x14ac:dyDescent="0.25">
      <c r="A11" s="5" t="s">
        <v>411</v>
      </c>
      <c r="B11" s="10" t="s">
        <v>143</v>
      </c>
      <c r="C11" s="10" t="s">
        <v>120</v>
      </c>
      <c r="D11" s="13" t="s">
        <v>123</v>
      </c>
      <c r="E11" s="10" t="s">
        <v>124</v>
      </c>
      <c r="F11" s="14" t="s">
        <v>39</v>
      </c>
      <c r="G11" s="15" t="s">
        <v>40</v>
      </c>
      <c r="H11" s="16"/>
      <c r="I11" s="15"/>
      <c r="J11" s="15"/>
      <c r="K11" s="15"/>
      <c r="L11" s="15"/>
      <c r="M11" s="15" t="s">
        <v>20</v>
      </c>
      <c r="N11" s="15"/>
      <c r="O11" s="16"/>
      <c r="P11" s="17"/>
      <c r="Q11" s="18"/>
      <c r="R11" s="19"/>
      <c r="S11" s="19"/>
      <c r="T11" s="18"/>
      <c r="U11" s="9"/>
    </row>
    <row r="12" spans="1:21" x14ac:dyDescent="0.25">
      <c r="A12" s="5" t="s">
        <v>412</v>
      </c>
      <c r="B12" s="10" t="s">
        <v>118</v>
      </c>
      <c r="C12" s="10" t="s">
        <v>119</v>
      </c>
      <c r="D12" s="11" t="s">
        <v>390</v>
      </c>
      <c r="F12" s="14" t="s">
        <v>39</v>
      </c>
      <c r="G12" s="15" t="s">
        <v>40</v>
      </c>
      <c r="H12" s="16"/>
      <c r="I12" s="15"/>
      <c r="J12" s="15"/>
      <c r="K12" s="15"/>
      <c r="L12" s="15"/>
      <c r="M12" s="15" t="s">
        <v>20</v>
      </c>
      <c r="N12" s="15"/>
      <c r="O12" s="16"/>
      <c r="P12" s="17"/>
      <c r="Q12" s="18"/>
      <c r="R12" s="19"/>
      <c r="S12" s="19"/>
      <c r="T12" s="18"/>
      <c r="U12" s="9"/>
    </row>
    <row r="13" spans="1:21" x14ac:dyDescent="0.25">
      <c r="A13" s="5" t="s">
        <v>413</v>
      </c>
      <c r="B13" s="5" t="s">
        <v>418</v>
      </c>
      <c r="D13" s="111" t="s">
        <v>406</v>
      </c>
      <c r="F13" s="14" t="s">
        <v>39</v>
      </c>
      <c r="G13" s="15" t="s">
        <v>40</v>
      </c>
      <c r="H13" s="16"/>
      <c r="I13" s="15"/>
      <c r="J13" s="15"/>
      <c r="K13" s="15"/>
      <c r="L13" s="15"/>
      <c r="M13" s="15" t="s">
        <v>20</v>
      </c>
      <c r="N13" s="15"/>
      <c r="O13" s="16"/>
      <c r="P13" s="17"/>
      <c r="Q13" s="18"/>
      <c r="R13" s="19"/>
      <c r="S13" s="19"/>
      <c r="T13" s="18"/>
      <c r="U13" s="9"/>
    </row>
    <row r="14" spans="1:21" x14ac:dyDescent="0.25">
      <c r="A14" s="7" t="s">
        <v>414</v>
      </c>
      <c r="B14" s="7" t="s">
        <v>419</v>
      </c>
      <c r="D14" s="111" t="s">
        <v>406</v>
      </c>
      <c r="F14" s="14" t="s">
        <v>39</v>
      </c>
      <c r="G14" s="15" t="s">
        <v>40</v>
      </c>
      <c r="H14" s="16"/>
      <c r="I14" s="15"/>
      <c r="J14" s="15"/>
      <c r="K14" s="15"/>
      <c r="L14" s="15"/>
      <c r="M14" s="15" t="s">
        <v>20</v>
      </c>
      <c r="N14" s="15"/>
      <c r="O14" s="16"/>
      <c r="P14" s="17"/>
      <c r="Q14" s="18"/>
      <c r="R14" s="19"/>
      <c r="S14" s="19"/>
      <c r="T14" s="18"/>
      <c r="U14" s="9"/>
    </row>
    <row r="15" spans="1:21" x14ac:dyDescent="0.25">
      <c r="A15" s="7" t="s">
        <v>415</v>
      </c>
      <c r="B15" s="7" t="s">
        <v>420</v>
      </c>
      <c r="D15" s="111" t="s">
        <v>406</v>
      </c>
      <c r="F15" s="14" t="s">
        <v>39</v>
      </c>
      <c r="G15" s="15" t="s">
        <v>40</v>
      </c>
      <c r="H15" s="16"/>
      <c r="I15" s="15"/>
      <c r="J15" s="15"/>
      <c r="K15" s="15"/>
      <c r="L15" s="15"/>
      <c r="M15" s="15" t="s">
        <v>20</v>
      </c>
      <c r="N15" s="15"/>
      <c r="O15" s="16"/>
      <c r="P15" s="17"/>
      <c r="Q15" s="18"/>
      <c r="R15" s="19"/>
      <c r="S15" s="19"/>
      <c r="T15" s="18"/>
      <c r="U15" s="9"/>
    </row>
    <row r="16" spans="1:21" x14ac:dyDescent="0.25">
      <c r="A16" s="5" t="s">
        <v>416</v>
      </c>
      <c r="B16" s="5" t="s">
        <v>416</v>
      </c>
      <c r="D16" s="112" t="s">
        <v>417</v>
      </c>
      <c r="F16" s="14" t="s">
        <v>39</v>
      </c>
      <c r="G16" s="15" t="s">
        <v>40</v>
      </c>
      <c r="H16" s="16"/>
      <c r="I16" s="15"/>
      <c r="J16" s="15"/>
      <c r="K16" s="15"/>
      <c r="L16" s="15"/>
      <c r="M16" s="15" t="s">
        <v>20</v>
      </c>
      <c r="N16" s="15"/>
      <c r="O16" s="16"/>
      <c r="P16" s="17"/>
      <c r="Q16" s="18"/>
      <c r="R16" s="19"/>
      <c r="S16" s="19"/>
      <c r="T16" s="18"/>
      <c r="U16" s="9"/>
    </row>
    <row r="17" spans="1:21" x14ac:dyDescent="0.25">
      <c r="A17" s="5" t="s">
        <v>421</v>
      </c>
      <c r="B17" s="5" t="s">
        <v>423</v>
      </c>
      <c r="D17" s="5" t="s">
        <v>423</v>
      </c>
      <c r="F17" s="14" t="s">
        <v>39</v>
      </c>
      <c r="G17" s="15" t="s">
        <v>40</v>
      </c>
      <c r="H17" s="16"/>
      <c r="I17" s="15"/>
      <c r="J17" s="15"/>
      <c r="K17" s="15"/>
      <c r="L17" s="15"/>
      <c r="M17" s="15" t="s">
        <v>20</v>
      </c>
      <c r="N17" s="15"/>
      <c r="O17" s="16"/>
      <c r="P17" s="17"/>
      <c r="Q17" s="18"/>
      <c r="R17" s="19"/>
      <c r="S17" s="19"/>
      <c r="T17" s="18"/>
      <c r="U17" s="9"/>
    </row>
    <row r="18" spans="1:21" x14ac:dyDescent="0.25">
      <c r="A18" s="5" t="s">
        <v>422</v>
      </c>
      <c r="B18" s="5" t="s">
        <v>424</v>
      </c>
      <c r="D18" s="5" t="s">
        <v>424</v>
      </c>
      <c r="F18" s="14" t="s">
        <v>39</v>
      </c>
      <c r="G18" s="15" t="s">
        <v>40</v>
      </c>
      <c r="H18" s="16"/>
      <c r="I18" s="15"/>
      <c r="J18" s="15"/>
      <c r="K18" s="15"/>
      <c r="L18" s="15"/>
      <c r="M18" s="15" t="s">
        <v>20</v>
      </c>
      <c r="N18" s="15"/>
      <c r="O18" s="16"/>
      <c r="P18" s="17"/>
      <c r="Q18" s="18"/>
      <c r="R18" s="19"/>
      <c r="S18" s="19"/>
      <c r="T18" s="18"/>
      <c r="U18" s="9"/>
    </row>
    <row r="19" spans="1:21" x14ac:dyDescent="0.25">
      <c r="A19" s="7" t="s">
        <v>400</v>
      </c>
      <c r="B19" s="5" t="s">
        <v>404</v>
      </c>
      <c r="D19" s="92" t="s">
        <v>404</v>
      </c>
      <c r="F19" s="14" t="s">
        <v>39</v>
      </c>
      <c r="G19" s="15" t="s">
        <v>40</v>
      </c>
      <c r="H19" s="16"/>
      <c r="I19" s="15"/>
      <c r="J19" s="15"/>
      <c r="K19" s="15"/>
      <c r="L19" s="15"/>
      <c r="M19" s="15" t="s">
        <v>20</v>
      </c>
      <c r="N19" s="15"/>
      <c r="O19" s="16"/>
      <c r="P19" s="17"/>
      <c r="Q19" s="18"/>
      <c r="R19" s="19"/>
      <c r="S19" s="19"/>
      <c r="T19" s="18"/>
      <c r="U19" s="9"/>
    </row>
    <row r="20" spans="1:21" x14ac:dyDescent="0.25">
      <c r="A20" s="7" t="s">
        <v>401</v>
      </c>
      <c r="B20" s="5" t="s">
        <v>404</v>
      </c>
      <c r="D20" s="92" t="s">
        <v>404</v>
      </c>
      <c r="F20" s="14" t="s">
        <v>39</v>
      </c>
      <c r="G20" s="15" t="s">
        <v>40</v>
      </c>
      <c r="H20" s="16"/>
      <c r="I20" s="15"/>
      <c r="J20" s="15"/>
      <c r="K20" s="15"/>
      <c r="L20" s="15"/>
      <c r="M20" s="15" t="s">
        <v>20</v>
      </c>
      <c r="N20" s="15"/>
      <c r="O20" s="16"/>
      <c r="P20" s="17"/>
      <c r="Q20" s="18"/>
      <c r="R20" s="19"/>
      <c r="S20" s="19"/>
      <c r="T20" s="18"/>
      <c r="U20" s="9"/>
    </row>
    <row r="21" spans="1:21" x14ac:dyDescent="0.25">
      <c r="A21" s="7" t="s">
        <v>402</v>
      </c>
      <c r="B21" s="5" t="s">
        <v>404</v>
      </c>
      <c r="D21" s="92" t="s">
        <v>404</v>
      </c>
      <c r="F21" s="14" t="s">
        <v>39</v>
      </c>
      <c r="G21" s="15" t="s">
        <v>40</v>
      </c>
      <c r="H21" s="16"/>
      <c r="I21" s="15"/>
      <c r="J21" s="15"/>
      <c r="K21" s="15"/>
      <c r="L21" s="15"/>
      <c r="M21" s="15" t="s">
        <v>20</v>
      </c>
      <c r="N21" s="15"/>
      <c r="O21" s="16"/>
      <c r="P21" s="17"/>
      <c r="Q21" s="18"/>
      <c r="R21" s="19"/>
      <c r="S21" s="19"/>
      <c r="T21" s="18"/>
      <c r="U21" s="9"/>
    </row>
    <row r="22" spans="1:21" x14ac:dyDescent="0.25">
      <c r="A22" s="7" t="s">
        <v>403</v>
      </c>
      <c r="B22" s="5" t="s">
        <v>404</v>
      </c>
      <c r="D22" s="92" t="s">
        <v>404</v>
      </c>
      <c r="F22" s="14" t="s">
        <v>39</v>
      </c>
      <c r="G22" s="15" t="s">
        <v>40</v>
      </c>
      <c r="H22" s="16"/>
      <c r="I22" s="15"/>
      <c r="J22" s="15"/>
      <c r="K22" s="15"/>
      <c r="L22" s="15"/>
      <c r="M22" s="15" t="s">
        <v>20</v>
      </c>
      <c r="N22" s="15"/>
      <c r="O22" s="16"/>
      <c r="P22" s="17"/>
      <c r="Q22" s="18"/>
      <c r="R22" s="19"/>
      <c r="S22" s="19"/>
      <c r="T22" s="18"/>
      <c r="U22" s="9"/>
    </row>
    <row r="23" spans="1:21" x14ac:dyDescent="0.25">
      <c r="A23" s="7" t="s">
        <v>517</v>
      </c>
      <c r="B23" s="5" t="s">
        <v>405</v>
      </c>
      <c r="D23" s="92" t="s">
        <v>407</v>
      </c>
      <c r="F23" s="14" t="s">
        <v>39</v>
      </c>
      <c r="G23" s="15" t="s">
        <v>40</v>
      </c>
      <c r="H23" s="16"/>
      <c r="I23" s="15"/>
      <c r="J23" s="15"/>
      <c r="K23" s="15"/>
      <c r="L23" s="15"/>
      <c r="M23" s="15" t="s">
        <v>20</v>
      </c>
      <c r="N23" s="15"/>
      <c r="O23" s="16"/>
      <c r="P23" s="17"/>
      <c r="Q23" s="18"/>
      <c r="R23" s="19"/>
      <c r="S23" s="19"/>
      <c r="T23" s="18"/>
      <c r="U23" s="9"/>
    </row>
    <row r="24" spans="1:21" x14ac:dyDescent="0.25">
      <c r="A24" s="10" t="s">
        <v>283</v>
      </c>
      <c r="B24" s="10" t="s">
        <v>143</v>
      </c>
      <c r="C24" s="10" t="s">
        <v>120</v>
      </c>
      <c r="D24" s="13" t="s">
        <v>123</v>
      </c>
      <c r="E24" s="10" t="s">
        <v>124</v>
      </c>
      <c r="F24" s="14" t="s">
        <v>129</v>
      </c>
      <c r="G24" s="15">
        <v>7</v>
      </c>
      <c r="H24" s="16"/>
      <c r="I24" s="15"/>
      <c r="J24" s="15"/>
      <c r="K24" s="15"/>
      <c r="L24" s="15"/>
      <c r="M24" s="15" t="s">
        <v>20</v>
      </c>
      <c r="N24" s="15"/>
      <c r="O24" s="16"/>
      <c r="P24" s="17" t="s">
        <v>38</v>
      </c>
      <c r="Q24" s="18"/>
      <c r="R24" s="19"/>
      <c r="S24" s="19"/>
      <c r="T24" s="18"/>
      <c r="U24" s="9"/>
    </row>
    <row r="25" spans="1:21" x14ac:dyDescent="0.25">
      <c r="A25" s="10" t="s">
        <v>284</v>
      </c>
      <c r="B25" s="10" t="s">
        <v>118</v>
      </c>
      <c r="C25" s="10" t="s">
        <v>119</v>
      </c>
      <c r="D25" s="11" t="s">
        <v>390</v>
      </c>
      <c r="F25" s="14" t="s">
        <v>39</v>
      </c>
      <c r="G25" s="15">
        <v>50</v>
      </c>
      <c r="H25" s="16"/>
      <c r="I25" s="15"/>
      <c r="J25" s="15"/>
      <c r="K25" s="15"/>
      <c r="L25" s="15"/>
      <c r="M25" s="15" t="s">
        <v>20</v>
      </c>
      <c r="N25" s="15"/>
      <c r="O25" s="16"/>
      <c r="P25" s="17" t="s">
        <v>38</v>
      </c>
      <c r="Q25" s="18"/>
      <c r="R25" s="19"/>
      <c r="S25" s="19"/>
      <c r="T25" s="18"/>
      <c r="U25" s="9"/>
    </row>
    <row r="26" spans="1:21" x14ac:dyDescent="0.25">
      <c r="A26" s="10" t="s">
        <v>125</v>
      </c>
      <c r="B26" s="10" t="s">
        <v>288</v>
      </c>
      <c r="C26" s="10" t="s">
        <v>128</v>
      </c>
      <c r="D26" s="11" t="s">
        <v>117</v>
      </c>
      <c r="F26" s="14" t="s">
        <v>39</v>
      </c>
      <c r="G26" s="15">
        <v>256</v>
      </c>
      <c r="H26" s="16"/>
      <c r="I26" s="15"/>
      <c r="J26" s="15"/>
      <c r="K26" s="15"/>
      <c r="L26" s="15"/>
      <c r="M26" s="15" t="s">
        <v>20</v>
      </c>
      <c r="N26" s="15"/>
      <c r="O26" s="16"/>
      <c r="P26" s="17" t="s">
        <v>38</v>
      </c>
      <c r="Q26" s="18"/>
      <c r="R26" s="19"/>
      <c r="S26" s="19"/>
      <c r="T26" s="18"/>
      <c r="U26" s="9"/>
    </row>
  </sheetData>
  <mergeCells count="2">
    <mergeCell ref="F8:O8"/>
    <mergeCell ref="P8:T8"/>
  </mergeCells>
  <dataValidations disablePrompts="1"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Schemas!$A$10:$A$39</xm:f>
          </x14:formula1>
          <xm:sqref>B1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5">
    <tabColor rgb="FF1F497D"/>
  </sheetPr>
  <dimension ref="A1:U54"/>
  <sheetViews>
    <sheetView workbookViewId="0">
      <selection activeCell="A7" sqref="A7"/>
    </sheetView>
  </sheetViews>
  <sheetFormatPr baseColWidth="10" defaultColWidth="9.21875" defaultRowHeight="13.2" x14ac:dyDescent="0.25"/>
  <cols>
    <col min="1" max="1" width="25" style="10" customWidth="1"/>
    <col min="2" max="2" width="26.5546875" style="10" customWidth="1"/>
    <col min="3" max="3" width="11.5546875" style="10" customWidth="1"/>
    <col min="4" max="4" width="23.4414062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5.21875" style="10" customWidth="1"/>
    <col min="16" max="16" width="10.44140625" style="10" customWidth="1"/>
    <col min="17" max="17" width="12" style="10" bestFit="1" customWidth="1"/>
    <col min="18" max="18" width="13.5546875" style="10" bestFit="1" customWidth="1"/>
    <col min="19" max="19" width="20.5546875" style="10" bestFit="1" customWidth="1"/>
    <col min="20" max="20" width="14.21875" style="10" customWidth="1"/>
    <col min="21" max="16384" width="9.21875" style="10"/>
  </cols>
  <sheetData>
    <row r="1" spans="1:21" x14ac:dyDescent="0.25">
      <c r="A1" s="93" t="s">
        <v>28</v>
      </c>
      <c r="B1" s="5" t="s">
        <v>130</v>
      </c>
      <c r="C1" s="34" t="s">
        <v>312</v>
      </c>
      <c r="D1" s="23"/>
      <c r="E1" s="23"/>
      <c r="F1" s="23"/>
      <c r="G1" s="23"/>
      <c r="H1" s="23"/>
      <c r="I1" s="23"/>
      <c r="J1" s="23"/>
      <c r="K1" s="23"/>
      <c r="L1" s="23"/>
      <c r="M1" s="23"/>
      <c r="N1" s="23"/>
      <c r="O1" s="23"/>
      <c r="P1" s="23"/>
      <c r="Q1" s="23"/>
      <c r="R1" s="23"/>
      <c r="S1" s="23"/>
      <c r="T1" s="23"/>
    </row>
    <row r="2" spans="1:21" x14ac:dyDescent="0.25">
      <c r="A2" s="93" t="s">
        <v>3</v>
      </c>
      <c r="B2" s="25" t="s">
        <v>501</v>
      </c>
      <c r="C2" s="34" t="s">
        <v>313</v>
      </c>
      <c r="D2" s="23"/>
      <c r="E2" s="23"/>
      <c r="F2" s="23"/>
      <c r="G2" s="23"/>
      <c r="H2" s="23"/>
      <c r="I2" s="23"/>
      <c r="J2" s="23"/>
      <c r="K2" s="23"/>
      <c r="L2" s="23"/>
      <c r="M2" s="23"/>
      <c r="N2" s="23"/>
      <c r="O2" s="23"/>
      <c r="P2" s="23"/>
      <c r="Q2" s="23"/>
      <c r="R2" s="23"/>
      <c r="S2" s="23"/>
      <c r="T2" s="23"/>
    </row>
    <row r="3" spans="1:21" s="1" customFormat="1" x14ac:dyDescent="0.25">
      <c r="A3" s="94" t="s">
        <v>29</v>
      </c>
      <c r="B3" s="25" t="s">
        <v>502</v>
      </c>
      <c r="C3" s="35" t="s">
        <v>335</v>
      </c>
      <c r="D3" s="24"/>
      <c r="E3" s="23"/>
      <c r="F3" s="23"/>
      <c r="G3" s="23"/>
      <c r="H3" s="23"/>
      <c r="I3" s="23"/>
      <c r="J3" s="23"/>
      <c r="K3" s="23"/>
      <c r="L3" s="23"/>
      <c r="M3" s="23"/>
      <c r="N3" s="23"/>
      <c r="O3" s="23"/>
      <c r="P3" s="23"/>
      <c r="Q3" s="23"/>
      <c r="R3" s="23"/>
      <c r="S3" s="23"/>
      <c r="T3" s="23"/>
    </row>
    <row r="4" spans="1:21" s="1" customFormat="1" x14ac:dyDescent="0.25">
      <c r="A4" s="94" t="s">
        <v>305</v>
      </c>
      <c r="B4" s="5" t="s">
        <v>306</v>
      </c>
      <c r="C4" s="35" t="s">
        <v>311</v>
      </c>
      <c r="D4" s="24"/>
      <c r="E4" s="23"/>
      <c r="F4" s="23"/>
      <c r="G4" s="23"/>
      <c r="H4" s="23"/>
      <c r="I4" s="23"/>
      <c r="J4" s="23"/>
      <c r="K4" s="23"/>
      <c r="L4" s="23"/>
      <c r="M4" s="23"/>
      <c r="N4" s="23"/>
      <c r="O4" s="23"/>
      <c r="P4" s="23"/>
      <c r="Q4" s="23"/>
      <c r="R4" s="23"/>
      <c r="S4" s="23"/>
      <c r="T4" s="23"/>
    </row>
    <row r="5" spans="1:21" s="1" customFormat="1" x14ac:dyDescent="0.25">
      <c r="A5" s="94" t="s">
        <v>333</v>
      </c>
      <c r="B5" s="7" t="s">
        <v>20</v>
      </c>
      <c r="C5" s="35" t="s">
        <v>334</v>
      </c>
      <c r="D5" s="24"/>
      <c r="E5" s="23"/>
      <c r="F5" s="23"/>
      <c r="G5" s="23"/>
      <c r="H5" s="23"/>
      <c r="I5" s="23"/>
      <c r="J5" s="23"/>
      <c r="K5" s="23"/>
      <c r="L5" s="23"/>
      <c r="M5" s="23"/>
      <c r="N5" s="23"/>
      <c r="O5" s="23"/>
      <c r="P5" s="23"/>
      <c r="Q5" s="23"/>
      <c r="R5" s="23"/>
      <c r="S5" s="23"/>
      <c r="T5" s="23"/>
    </row>
    <row r="6" spans="1:21" s="1" customFormat="1" x14ac:dyDescent="0.25">
      <c r="A6" s="94"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x14ac:dyDescent="0.25">
      <c r="A8" s="95"/>
      <c r="B8" s="95"/>
      <c r="C8" s="95"/>
      <c r="D8" s="96"/>
      <c r="E8" s="96"/>
      <c r="F8" s="122" t="s">
        <v>8</v>
      </c>
      <c r="G8" s="123"/>
      <c r="H8" s="123"/>
      <c r="I8" s="123"/>
      <c r="J8" s="123"/>
      <c r="K8" s="123"/>
      <c r="L8" s="123"/>
      <c r="M8" s="123"/>
      <c r="N8" s="123"/>
      <c r="O8" s="124"/>
      <c r="P8" s="125" t="s">
        <v>9</v>
      </c>
      <c r="Q8" s="126"/>
      <c r="R8" s="126"/>
      <c r="S8" s="126"/>
      <c r="T8" s="127"/>
    </row>
    <row r="9" spans="1:21" s="4" customFormat="1" ht="26.4" x14ac:dyDescent="0.25">
      <c r="A9" s="97" t="s">
        <v>4</v>
      </c>
      <c r="B9" s="97" t="s">
        <v>26</v>
      </c>
      <c r="C9" s="97" t="s">
        <v>7</v>
      </c>
      <c r="D9" s="97" t="s">
        <v>10</v>
      </c>
      <c r="E9" s="97" t="s">
        <v>13</v>
      </c>
      <c r="F9" s="98" t="s">
        <v>11</v>
      </c>
      <c r="G9" s="99" t="s">
        <v>6</v>
      </c>
      <c r="H9" s="99" t="s">
        <v>12</v>
      </c>
      <c r="I9" s="99" t="s">
        <v>87</v>
      </c>
      <c r="J9" s="99" t="s">
        <v>308</v>
      </c>
      <c r="K9" s="99" t="s">
        <v>309</v>
      </c>
      <c r="L9" s="99" t="s">
        <v>14</v>
      </c>
      <c r="M9" s="99" t="s">
        <v>287</v>
      </c>
      <c r="N9" s="99" t="s">
        <v>385</v>
      </c>
      <c r="O9" s="100" t="s">
        <v>15</v>
      </c>
      <c r="P9" s="101" t="s">
        <v>21</v>
      </c>
      <c r="Q9" s="99" t="s">
        <v>22</v>
      </c>
      <c r="R9" s="99" t="s">
        <v>23</v>
      </c>
      <c r="S9" s="99" t="s">
        <v>24</v>
      </c>
      <c r="T9" s="100" t="s">
        <v>16</v>
      </c>
    </row>
    <row r="10" spans="1:21" x14ac:dyDescent="0.25">
      <c r="A10" s="7" t="s">
        <v>46</v>
      </c>
      <c r="B10" s="5" t="s">
        <v>46</v>
      </c>
      <c r="D10" s="13" t="s">
        <v>389</v>
      </c>
      <c r="F10" s="14" t="s">
        <v>60</v>
      </c>
      <c r="G10" s="15"/>
      <c r="H10" s="16"/>
      <c r="I10" s="15" t="s">
        <v>41</v>
      </c>
      <c r="J10" s="15"/>
      <c r="K10" s="15"/>
      <c r="L10" s="15"/>
      <c r="M10" s="15" t="s">
        <v>5</v>
      </c>
      <c r="N10" s="15"/>
      <c r="O10" s="16"/>
      <c r="P10" s="17" t="s">
        <v>38</v>
      </c>
      <c r="Q10" s="18"/>
      <c r="R10" s="19"/>
      <c r="S10" s="19"/>
      <c r="T10" s="18"/>
      <c r="U10" s="9"/>
    </row>
    <row r="11" spans="1:21" x14ac:dyDescent="0.25">
      <c r="A11" s="7" t="s">
        <v>410</v>
      </c>
      <c r="B11" s="5"/>
      <c r="D11" s="91" t="s">
        <v>425</v>
      </c>
      <c r="F11" s="14" t="s">
        <v>39</v>
      </c>
      <c r="G11" s="15">
        <v>50</v>
      </c>
      <c r="H11" s="16"/>
      <c r="I11" s="15"/>
      <c r="J11" s="15"/>
      <c r="K11" s="15"/>
      <c r="L11" s="15"/>
      <c r="M11" s="15" t="s">
        <v>20</v>
      </c>
      <c r="N11" s="15"/>
      <c r="O11" s="16"/>
      <c r="P11" s="17" t="s">
        <v>227</v>
      </c>
      <c r="Q11" s="18" t="s">
        <v>112</v>
      </c>
      <c r="R11" s="19" t="s">
        <v>501</v>
      </c>
      <c r="S11" s="19" t="s">
        <v>410</v>
      </c>
      <c r="T11" s="18" t="s">
        <v>444</v>
      </c>
      <c r="U11" s="9"/>
    </row>
    <row r="12" spans="1:21" x14ac:dyDescent="0.25">
      <c r="A12" s="5" t="s">
        <v>411</v>
      </c>
      <c r="B12" s="10" t="s">
        <v>143</v>
      </c>
      <c r="C12" s="10" t="s">
        <v>120</v>
      </c>
      <c r="D12" s="13" t="s">
        <v>123</v>
      </c>
      <c r="E12" s="10" t="s">
        <v>124</v>
      </c>
      <c r="F12" s="14" t="s">
        <v>129</v>
      </c>
      <c r="G12" s="15">
        <v>7</v>
      </c>
      <c r="H12" s="16"/>
      <c r="I12" s="15"/>
      <c r="J12" s="15"/>
      <c r="K12" s="15"/>
      <c r="L12" s="15"/>
      <c r="M12" s="15" t="s">
        <v>20</v>
      </c>
      <c r="N12" s="15"/>
      <c r="O12" s="16"/>
      <c r="P12" s="17" t="s">
        <v>227</v>
      </c>
      <c r="Q12" s="18" t="s">
        <v>112</v>
      </c>
      <c r="R12" s="19" t="s">
        <v>501</v>
      </c>
      <c r="S12" s="19" t="s">
        <v>411</v>
      </c>
      <c r="T12" s="18" t="s">
        <v>444</v>
      </c>
      <c r="U12" s="9"/>
    </row>
    <row r="13" spans="1:21" x14ac:dyDescent="0.25">
      <c r="A13" s="5" t="s">
        <v>412</v>
      </c>
      <c r="B13" s="10" t="s">
        <v>118</v>
      </c>
      <c r="C13" s="10" t="s">
        <v>119</v>
      </c>
      <c r="D13" s="11" t="s">
        <v>390</v>
      </c>
      <c r="F13" s="14" t="s">
        <v>39</v>
      </c>
      <c r="G13" s="15">
        <v>50</v>
      </c>
      <c r="H13" s="16"/>
      <c r="I13" s="15"/>
      <c r="J13" s="15"/>
      <c r="K13" s="15"/>
      <c r="L13" s="15"/>
      <c r="M13" s="15" t="s">
        <v>20</v>
      </c>
      <c r="N13" s="15"/>
      <c r="O13" s="16"/>
      <c r="P13" s="17" t="s">
        <v>227</v>
      </c>
      <c r="Q13" s="18" t="s">
        <v>112</v>
      </c>
      <c r="R13" s="19" t="s">
        <v>501</v>
      </c>
      <c r="S13" s="19" t="s">
        <v>412</v>
      </c>
      <c r="T13" s="18" t="s">
        <v>444</v>
      </c>
      <c r="U13" s="9"/>
    </row>
    <row r="14" spans="1:21" x14ac:dyDescent="0.25">
      <c r="A14" s="5" t="s">
        <v>413</v>
      </c>
      <c r="B14" s="5" t="s">
        <v>418</v>
      </c>
      <c r="D14" s="111" t="s">
        <v>406</v>
      </c>
      <c r="F14" s="14" t="s">
        <v>39</v>
      </c>
      <c r="G14" s="15">
        <v>256</v>
      </c>
      <c r="H14" s="16"/>
      <c r="I14" s="15"/>
      <c r="J14" s="15"/>
      <c r="K14" s="15"/>
      <c r="L14" s="15"/>
      <c r="M14" s="15" t="s">
        <v>20</v>
      </c>
      <c r="N14" s="15"/>
      <c r="O14" s="16"/>
      <c r="P14" s="17" t="s">
        <v>227</v>
      </c>
      <c r="Q14" s="18" t="s">
        <v>112</v>
      </c>
      <c r="R14" s="19" t="s">
        <v>501</v>
      </c>
      <c r="S14" s="19" t="s">
        <v>413</v>
      </c>
      <c r="T14" s="18" t="s">
        <v>444</v>
      </c>
      <c r="U14" s="9"/>
    </row>
    <row r="15" spans="1:21" x14ac:dyDescent="0.25">
      <c r="A15" s="7" t="s">
        <v>414</v>
      </c>
      <c r="B15" s="7" t="s">
        <v>419</v>
      </c>
      <c r="D15" s="111" t="s">
        <v>406</v>
      </c>
      <c r="F15" s="14" t="s">
        <v>39</v>
      </c>
      <c r="G15" s="15">
        <v>256</v>
      </c>
      <c r="H15" s="16"/>
      <c r="I15" s="15"/>
      <c r="J15" s="15"/>
      <c r="K15" s="15"/>
      <c r="L15" s="15"/>
      <c r="M15" s="15" t="s">
        <v>20</v>
      </c>
      <c r="N15" s="15"/>
      <c r="O15" s="16"/>
      <c r="P15" s="17" t="s">
        <v>227</v>
      </c>
      <c r="Q15" s="18" t="s">
        <v>112</v>
      </c>
      <c r="R15" s="19" t="s">
        <v>501</v>
      </c>
      <c r="S15" s="19" t="s">
        <v>414</v>
      </c>
      <c r="T15" s="18" t="s">
        <v>444</v>
      </c>
      <c r="U15" s="9"/>
    </row>
    <row r="16" spans="1:21" x14ac:dyDescent="0.25">
      <c r="A16" s="7" t="s">
        <v>415</v>
      </c>
      <c r="B16" s="7" t="s">
        <v>420</v>
      </c>
      <c r="D16" s="111" t="s">
        <v>406</v>
      </c>
      <c r="F16" s="14" t="s">
        <v>39</v>
      </c>
      <c r="G16" s="15">
        <v>256</v>
      </c>
      <c r="H16" s="16"/>
      <c r="I16" s="15"/>
      <c r="J16" s="15"/>
      <c r="K16" s="15"/>
      <c r="L16" s="15"/>
      <c r="M16" s="15" t="s">
        <v>20</v>
      </c>
      <c r="N16" s="15"/>
      <c r="O16" s="16"/>
      <c r="P16" s="17" t="s">
        <v>227</v>
      </c>
      <c r="Q16" s="18" t="s">
        <v>112</v>
      </c>
      <c r="R16" s="19" t="s">
        <v>501</v>
      </c>
      <c r="S16" s="19" t="s">
        <v>415</v>
      </c>
      <c r="T16" s="18" t="s">
        <v>444</v>
      </c>
      <c r="U16" s="9"/>
    </row>
    <row r="17" spans="1:21" x14ac:dyDescent="0.25">
      <c r="A17" s="5" t="s">
        <v>416</v>
      </c>
      <c r="B17" s="5" t="s">
        <v>416</v>
      </c>
      <c r="D17" s="112" t="s">
        <v>417</v>
      </c>
      <c r="F17" s="14" t="s">
        <v>39</v>
      </c>
      <c r="G17" s="15">
        <v>100</v>
      </c>
      <c r="H17" s="16"/>
      <c r="I17" s="15"/>
      <c r="J17" s="15"/>
      <c r="K17" s="15"/>
      <c r="L17" s="15"/>
      <c r="M17" s="15" t="s">
        <v>20</v>
      </c>
      <c r="N17" s="15"/>
      <c r="O17" s="16"/>
      <c r="P17" s="17" t="s">
        <v>227</v>
      </c>
      <c r="Q17" s="18" t="s">
        <v>112</v>
      </c>
      <c r="R17" s="19" t="s">
        <v>501</v>
      </c>
      <c r="S17" s="19" t="s">
        <v>416</v>
      </c>
      <c r="T17" s="18" t="s">
        <v>444</v>
      </c>
      <c r="U17" s="9"/>
    </row>
    <row r="18" spans="1:21" x14ac:dyDescent="0.25">
      <c r="A18" s="5" t="s">
        <v>421</v>
      </c>
      <c r="B18" s="5" t="s">
        <v>423</v>
      </c>
      <c r="D18" s="5" t="s">
        <v>423</v>
      </c>
      <c r="F18" s="14" t="s">
        <v>39</v>
      </c>
      <c r="G18" s="15">
        <v>100</v>
      </c>
      <c r="H18" s="16"/>
      <c r="I18" s="15"/>
      <c r="J18" s="15"/>
      <c r="K18" s="15"/>
      <c r="L18" s="15"/>
      <c r="M18" s="15" t="s">
        <v>20</v>
      </c>
      <c r="N18" s="15"/>
      <c r="O18" s="16"/>
      <c r="P18" s="17" t="s">
        <v>227</v>
      </c>
      <c r="Q18" s="18" t="s">
        <v>112</v>
      </c>
      <c r="R18" s="19" t="s">
        <v>501</v>
      </c>
      <c r="S18" s="19" t="s">
        <v>421</v>
      </c>
      <c r="T18" s="18" t="s">
        <v>444</v>
      </c>
      <c r="U18" s="9"/>
    </row>
    <row r="19" spans="1:21" x14ac:dyDescent="0.25">
      <c r="A19" s="5" t="s">
        <v>422</v>
      </c>
      <c r="B19" s="5" t="s">
        <v>424</v>
      </c>
      <c r="D19" s="5" t="s">
        <v>424</v>
      </c>
      <c r="F19" s="14" t="s">
        <v>39</v>
      </c>
      <c r="G19" s="15">
        <v>100</v>
      </c>
      <c r="H19" s="16"/>
      <c r="I19" s="15"/>
      <c r="J19" s="15"/>
      <c r="K19" s="15"/>
      <c r="L19" s="15"/>
      <c r="M19" s="15" t="s">
        <v>20</v>
      </c>
      <c r="N19" s="15"/>
      <c r="O19" s="16"/>
      <c r="P19" s="17" t="s">
        <v>227</v>
      </c>
      <c r="Q19" s="18" t="s">
        <v>112</v>
      </c>
      <c r="R19" s="19" t="s">
        <v>501</v>
      </c>
      <c r="S19" s="19" t="s">
        <v>422</v>
      </c>
      <c r="T19" s="18" t="s">
        <v>444</v>
      </c>
      <c r="U19" s="9"/>
    </row>
    <row r="20" spans="1:21" x14ac:dyDescent="0.25">
      <c r="A20" s="7" t="s">
        <v>400</v>
      </c>
      <c r="B20" s="5" t="s">
        <v>404</v>
      </c>
      <c r="D20" s="92" t="s">
        <v>404</v>
      </c>
      <c r="F20" s="14" t="s">
        <v>39</v>
      </c>
      <c r="G20" s="15">
        <v>100</v>
      </c>
      <c r="H20" s="16"/>
      <c r="I20" s="15"/>
      <c r="J20" s="15"/>
      <c r="K20" s="15"/>
      <c r="L20" s="15"/>
      <c r="M20" s="15" t="s">
        <v>20</v>
      </c>
      <c r="N20" s="15"/>
      <c r="O20" s="16"/>
      <c r="P20" s="17" t="s">
        <v>227</v>
      </c>
      <c r="Q20" s="18" t="s">
        <v>112</v>
      </c>
      <c r="R20" s="19" t="s">
        <v>501</v>
      </c>
      <c r="S20" s="19" t="s">
        <v>400</v>
      </c>
      <c r="T20" s="18" t="s">
        <v>444</v>
      </c>
      <c r="U20" s="9"/>
    </row>
    <row r="21" spans="1:21" x14ac:dyDescent="0.25">
      <c r="A21" s="7" t="s">
        <v>401</v>
      </c>
      <c r="B21" s="5" t="s">
        <v>404</v>
      </c>
      <c r="D21" s="92" t="s">
        <v>404</v>
      </c>
      <c r="F21" s="14" t="s">
        <v>39</v>
      </c>
      <c r="G21" s="15">
        <v>200</v>
      </c>
      <c r="H21" s="16"/>
      <c r="I21" s="15"/>
      <c r="J21" s="15"/>
      <c r="K21" s="15"/>
      <c r="L21" s="15"/>
      <c r="M21" s="15" t="s">
        <v>20</v>
      </c>
      <c r="N21" s="15"/>
      <c r="O21" s="16"/>
      <c r="P21" s="17" t="s">
        <v>227</v>
      </c>
      <c r="Q21" s="18" t="s">
        <v>112</v>
      </c>
      <c r="R21" s="19" t="s">
        <v>501</v>
      </c>
      <c r="S21" s="19" t="s">
        <v>401</v>
      </c>
      <c r="T21" s="18" t="s">
        <v>444</v>
      </c>
      <c r="U21" s="9"/>
    </row>
    <row r="22" spans="1:21" x14ac:dyDescent="0.25">
      <c r="A22" s="7" t="s">
        <v>402</v>
      </c>
      <c r="B22" s="5" t="s">
        <v>404</v>
      </c>
      <c r="D22" s="92" t="s">
        <v>404</v>
      </c>
      <c r="F22" s="14" t="s">
        <v>39</v>
      </c>
      <c r="G22" s="15">
        <v>500</v>
      </c>
      <c r="H22" s="16"/>
      <c r="I22" s="15"/>
      <c r="J22" s="15"/>
      <c r="K22" s="15"/>
      <c r="L22" s="15"/>
      <c r="M22" s="15" t="s">
        <v>20</v>
      </c>
      <c r="N22" s="15"/>
      <c r="O22" s="16"/>
      <c r="P22" s="17" t="s">
        <v>227</v>
      </c>
      <c r="Q22" s="18" t="s">
        <v>112</v>
      </c>
      <c r="R22" s="19" t="s">
        <v>501</v>
      </c>
      <c r="S22" s="19" t="s">
        <v>402</v>
      </c>
      <c r="T22" s="18" t="s">
        <v>444</v>
      </c>
      <c r="U22" s="9"/>
    </row>
    <row r="23" spans="1:21" x14ac:dyDescent="0.25">
      <c r="A23" s="7" t="s">
        <v>403</v>
      </c>
      <c r="B23" s="5" t="s">
        <v>404</v>
      </c>
      <c r="D23" s="92" t="s">
        <v>404</v>
      </c>
      <c r="F23" s="14" t="s">
        <v>39</v>
      </c>
      <c r="G23" s="15">
        <v>1000</v>
      </c>
      <c r="H23" s="16"/>
      <c r="I23" s="15"/>
      <c r="J23" s="15"/>
      <c r="K23" s="15"/>
      <c r="L23" s="15"/>
      <c r="M23" s="15" t="s">
        <v>20</v>
      </c>
      <c r="N23" s="15"/>
      <c r="O23" s="16"/>
      <c r="P23" s="17" t="s">
        <v>227</v>
      </c>
      <c r="Q23" s="18" t="s">
        <v>112</v>
      </c>
      <c r="R23" s="19" t="s">
        <v>501</v>
      </c>
      <c r="S23" s="19" t="s">
        <v>403</v>
      </c>
      <c r="T23" s="18" t="s">
        <v>444</v>
      </c>
      <c r="U23" s="9"/>
    </row>
    <row r="24" spans="1:21" x14ac:dyDescent="0.25">
      <c r="A24" s="7" t="s">
        <v>517</v>
      </c>
      <c r="B24" s="5" t="s">
        <v>405</v>
      </c>
      <c r="D24" s="92" t="s">
        <v>407</v>
      </c>
      <c r="F24" s="14" t="s">
        <v>39</v>
      </c>
      <c r="G24" s="15">
        <v>15</v>
      </c>
      <c r="H24" s="16"/>
      <c r="I24" s="15"/>
      <c r="J24" s="15"/>
      <c r="K24" s="15"/>
      <c r="L24" s="15"/>
      <c r="M24" s="15" t="s">
        <v>20</v>
      </c>
      <c r="N24" s="15"/>
      <c r="O24" s="16"/>
      <c r="P24" s="17" t="s">
        <v>227</v>
      </c>
      <c r="Q24" s="18" t="s">
        <v>112</v>
      </c>
      <c r="R24" s="19" t="s">
        <v>501</v>
      </c>
      <c r="S24" s="19" t="s">
        <v>408</v>
      </c>
      <c r="T24" s="18" t="s">
        <v>444</v>
      </c>
      <c r="U24" s="9"/>
    </row>
    <row r="25" spans="1:21" x14ac:dyDescent="0.25">
      <c r="A25" s="7" t="s">
        <v>431</v>
      </c>
      <c r="B25" s="5"/>
      <c r="D25" s="91" t="s">
        <v>425</v>
      </c>
      <c r="F25" s="14" t="s">
        <v>39</v>
      </c>
      <c r="G25" s="15" t="s">
        <v>40</v>
      </c>
      <c r="H25" s="16"/>
      <c r="I25" s="15"/>
      <c r="J25" s="15"/>
      <c r="K25" s="15"/>
      <c r="L25" s="15"/>
      <c r="M25" s="15" t="s">
        <v>20</v>
      </c>
      <c r="N25" s="15"/>
      <c r="O25" s="16"/>
      <c r="P25" s="17" t="s">
        <v>227</v>
      </c>
      <c r="Q25" s="18" t="s">
        <v>112</v>
      </c>
      <c r="R25" s="19" t="s">
        <v>501</v>
      </c>
      <c r="S25" s="19" t="s">
        <v>410</v>
      </c>
      <c r="T25" s="18" t="s">
        <v>444</v>
      </c>
      <c r="U25" s="9"/>
    </row>
    <row r="26" spans="1:21" x14ac:dyDescent="0.25">
      <c r="A26" s="5" t="s">
        <v>432</v>
      </c>
      <c r="B26" s="10" t="s">
        <v>143</v>
      </c>
      <c r="C26" s="10" t="s">
        <v>120</v>
      </c>
      <c r="D26" s="13" t="s">
        <v>123</v>
      </c>
      <c r="E26" s="10" t="s">
        <v>124</v>
      </c>
      <c r="F26" s="14" t="s">
        <v>39</v>
      </c>
      <c r="G26" s="15" t="s">
        <v>40</v>
      </c>
      <c r="H26" s="16"/>
      <c r="I26" s="15"/>
      <c r="J26" s="15"/>
      <c r="K26" s="15"/>
      <c r="L26" s="15"/>
      <c r="M26" s="15" t="s">
        <v>20</v>
      </c>
      <c r="N26" s="15"/>
      <c r="O26" s="16"/>
      <c r="P26" s="17" t="s">
        <v>227</v>
      </c>
      <c r="Q26" s="18" t="s">
        <v>112</v>
      </c>
      <c r="R26" s="19" t="s">
        <v>501</v>
      </c>
      <c r="S26" s="19" t="s">
        <v>411</v>
      </c>
      <c r="T26" s="18" t="s">
        <v>444</v>
      </c>
      <c r="U26" s="9"/>
    </row>
    <row r="27" spans="1:21" x14ac:dyDescent="0.25">
      <c r="A27" s="5" t="s">
        <v>433</v>
      </c>
      <c r="B27" s="10" t="s">
        <v>118</v>
      </c>
      <c r="C27" s="10" t="s">
        <v>119</v>
      </c>
      <c r="D27" s="11" t="s">
        <v>390</v>
      </c>
      <c r="F27" s="14" t="s">
        <v>39</v>
      </c>
      <c r="G27" s="15" t="s">
        <v>40</v>
      </c>
      <c r="H27" s="16"/>
      <c r="I27" s="15"/>
      <c r="J27" s="15"/>
      <c r="K27" s="15"/>
      <c r="L27" s="15"/>
      <c r="M27" s="15" t="s">
        <v>20</v>
      </c>
      <c r="N27" s="15"/>
      <c r="O27" s="16"/>
      <c r="P27" s="17" t="s">
        <v>227</v>
      </c>
      <c r="Q27" s="18" t="s">
        <v>112</v>
      </c>
      <c r="R27" s="19" t="s">
        <v>501</v>
      </c>
      <c r="S27" s="19" t="s">
        <v>412</v>
      </c>
      <c r="T27" s="18" t="s">
        <v>444</v>
      </c>
      <c r="U27" s="9"/>
    </row>
    <row r="28" spans="1:21" x14ac:dyDescent="0.25">
      <c r="A28" s="5" t="s">
        <v>434</v>
      </c>
      <c r="B28" s="5" t="s">
        <v>418</v>
      </c>
      <c r="D28" s="111" t="s">
        <v>406</v>
      </c>
      <c r="F28" s="14" t="s">
        <v>39</v>
      </c>
      <c r="G28" s="15" t="s">
        <v>40</v>
      </c>
      <c r="H28" s="16"/>
      <c r="I28" s="15"/>
      <c r="J28" s="15"/>
      <c r="K28" s="15"/>
      <c r="L28" s="15"/>
      <c r="M28" s="15" t="s">
        <v>20</v>
      </c>
      <c r="N28" s="15"/>
      <c r="O28" s="16"/>
      <c r="P28" s="17" t="s">
        <v>227</v>
      </c>
      <c r="Q28" s="18" t="s">
        <v>112</v>
      </c>
      <c r="R28" s="19" t="s">
        <v>501</v>
      </c>
      <c r="S28" s="19" t="s">
        <v>413</v>
      </c>
      <c r="T28" s="18" t="s">
        <v>444</v>
      </c>
      <c r="U28" s="9"/>
    </row>
    <row r="29" spans="1:21" x14ac:dyDescent="0.25">
      <c r="A29" s="7" t="s">
        <v>435</v>
      </c>
      <c r="B29" s="7" t="s">
        <v>419</v>
      </c>
      <c r="D29" s="111" t="s">
        <v>406</v>
      </c>
      <c r="F29" s="14" t="s">
        <v>39</v>
      </c>
      <c r="G29" s="15" t="s">
        <v>40</v>
      </c>
      <c r="H29" s="16"/>
      <c r="I29" s="15"/>
      <c r="J29" s="15"/>
      <c r="K29" s="15"/>
      <c r="L29" s="15"/>
      <c r="M29" s="15" t="s">
        <v>20</v>
      </c>
      <c r="N29" s="15"/>
      <c r="O29" s="16"/>
      <c r="P29" s="17" t="s">
        <v>227</v>
      </c>
      <c r="Q29" s="18" t="s">
        <v>112</v>
      </c>
      <c r="R29" s="19" t="s">
        <v>501</v>
      </c>
      <c r="S29" s="19" t="s">
        <v>414</v>
      </c>
      <c r="T29" s="18" t="s">
        <v>444</v>
      </c>
      <c r="U29" s="9"/>
    </row>
    <row r="30" spans="1:21" x14ac:dyDescent="0.25">
      <c r="A30" s="7" t="s">
        <v>436</v>
      </c>
      <c r="B30" s="7" t="s">
        <v>420</v>
      </c>
      <c r="D30" s="111" t="s">
        <v>406</v>
      </c>
      <c r="F30" s="14" t="s">
        <v>39</v>
      </c>
      <c r="G30" s="15" t="s">
        <v>40</v>
      </c>
      <c r="H30" s="16"/>
      <c r="I30" s="15"/>
      <c r="J30" s="15"/>
      <c r="K30" s="15"/>
      <c r="L30" s="15"/>
      <c r="M30" s="15" t="s">
        <v>20</v>
      </c>
      <c r="N30" s="15"/>
      <c r="O30" s="16"/>
      <c r="P30" s="17" t="s">
        <v>227</v>
      </c>
      <c r="Q30" s="18" t="s">
        <v>112</v>
      </c>
      <c r="R30" s="19" t="s">
        <v>501</v>
      </c>
      <c r="S30" s="19" t="s">
        <v>415</v>
      </c>
      <c r="T30" s="18" t="s">
        <v>444</v>
      </c>
      <c r="U30" s="9"/>
    </row>
    <row r="31" spans="1:21" x14ac:dyDescent="0.25">
      <c r="A31" s="5" t="s">
        <v>437</v>
      </c>
      <c r="B31" s="5" t="s">
        <v>416</v>
      </c>
      <c r="D31" s="112" t="s">
        <v>417</v>
      </c>
      <c r="F31" s="14" t="s">
        <v>39</v>
      </c>
      <c r="G31" s="15" t="s">
        <v>40</v>
      </c>
      <c r="H31" s="16"/>
      <c r="I31" s="15"/>
      <c r="J31" s="15"/>
      <c r="K31" s="15"/>
      <c r="L31" s="15"/>
      <c r="M31" s="15" t="s">
        <v>20</v>
      </c>
      <c r="N31" s="15"/>
      <c r="O31" s="16"/>
      <c r="P31" s="17" t="s">
        <v>227</v>
      </c>
      <c r="Q31" s="18" t="s">
        <v>112</v>
      </c>
      <c r="R31" s="19" t="s">
        <v>501</v>
      </c>
      <c r="S31" s="19" t="s">
        <v>416</v>
      </c>
      <c r="T31" s="18" t="s">
        <v>444</v>
      </c>
      <c r="U31" s="9"/>
    </row>
    <row r="32" spans="1:21" x14ac:dyDescent="0.25">
      <c r="A32" s="5" t="s">
        <v>438</v>
      </c>
      <c r="B32" s="5" t="s">
        <v>423</v>
      </c>
      <c r="D32" s="5" t="s">
        <v>423</v>
      </c>
      <c r="F32" s="14" t="s">
        <v>39</v>
      </c>
      <c r="G32" s="15" t="s">
        <v>40</v>
      </c>
      <c r="H32" s="16"/>
      <c r="I32" s="15"/>
      <c r="J32" s="15"/>
      <c r="K32" s="15"/>
      <c r="L32" s="15"/>
      <c r="M32" s="15" t="s">
        <v>20</v>
      </c>
      <c r="N32" s="15"/>
      <c r="O32" s="16"/>
      <c r="P32" s="17" t="s">
        <v>227</v>
      </c>
      <c r="Q32" s="18" t="s">
        <v>112</v>
      </c>
      <c r="R32" s="19" t="s">
        <v>501</v>
      </c>
      <c r="S32" s="19" t="s">
        <v>421</v>
      </c>
      <c r="T32" s="18" t="s">
        <v>444</v>
      </c>
      <c r="U32" s="9"/>
    </row>
    <row r="33" spans="1:21" x14ac:dyDescent="0.25">
      <c r="A33" s="5" t="s">
        <v>439</v>
      </c>
      <c r="B33" s="5" t="s">
        <v>424</v>
      </c>
      <c r="D33" s="5" t="s">
        <v>424</v>
      </c>
      <c r="F33" s="14" t="s">
        <v>39</v>
      </c>
      <c r="G33" s="15" t="s">
        <v>40</v>
      </c>
      <c r="H33" s="16"/>
      <c r="I33" s="15"/>
      <c r="J33" s="15"/>
      <c r="K33" s="15"/>
      <c r="L33" s="15"/>
      <c r="M33" s="15" t="s">
        <v>20</v>
      </c>
      <c r="N33" s="15"/>
      <c r="O33" s="16"/>
      <c r="P33" s="17" t="s">
        <v>227</v>
      </c>
      <c r="Q33" s="18" t="s">
        <v>112</v>
      </c>
      <c r="R33" s="19" t="s">
        <v>501</v>
      </c>
      <c r="S33" s="19" t="s">
        <v>422</v>
      </c>
      <c r="T33" s="18" t="s">
        <v>444</v>
      </c>
      <c r="U33" s="9"/>
    </row>
    <row r="34" spans="1:21" x14ac:dyDescent="0.25">
      <c r="A34" s="7" t="s">
        <v>440</v>
      </c>
      <c r="B34" s="5" t="s">
        <v>404</v>
      </c>
      <c r="D34" s="92" t="s">
        <v>404</v>
      </c>
      <c r="F34" s="14" t="s">
        <v>39</v>
      </c>
      <c r="G34" s="15" t="s">
        <v>40</v>
      </c>
      <c r="H34" s="16"/>
      <c r="I34" s="15"/>
      <c r="J34" s="15"/>
      <c r="K34" s="15"/>
      <c r="L34" s="15"/>
      <c r="M34" s="15" t="s">
        <v>20</v>
      </c>
      <c r="N34" s="15"/>
      <c r="O34" s="16"/>
      <c r="P34" s="17" t="s">
        <v>227</v>
      </c>
      <c r="Q34" s="18" t="s">
        <v>112</v>
      </c>
      <c r="R34" s="19" t="s">
        <v>501</v>
      </c>
      <c r="S34" s="19" t="s">
        <v>400</v>
      </c>
      <c r="T34" s="18" t="s">
        <v>444</v>
      </c>
      <c r="U34" s="9"/>
    </row>
    <row r="35" spans="1:21" x14ac:dyDescent="0.25">
      <c r="A35" s="7" t="s">
        <v>441</v>
      </c>
      <c r="B35" s="5" t="s">
        <v>404</v>
      </c>
      <c r="D35" s="92" t="s">
        <v>404</v>
      </c>
      <c r="F35" s="14" t="s">
        <v>39</v>
      </c>
      <c r="G35" s="15" t="s">
        <v>40</v>
      </c>
      <c r="H35" s="16"/>
      <c r="I35" s="15"/>
      <c r="J35" s="15"/>
      <c r="K35" s="15"/>
      <c r="L35" s="15"/>
      <c r="M35" s="15" t="s">
        <v>20</v>
      </c>
      <c r="N35" s="15"/>
      <c r="O35" s="16"/>
      <c r="P35" s="17" t="s">
        <v>227</v>
      </c>
      <c r="Q35" s="18" t="s">
        <v>112</v>
      </c>
      <c r="R35" s="19" t="s">
        <v>501</v>
      </c>
      <c r="S35" s="19" t="s">
        <v>401</v>
      </c>
      <c r="T35" s="18" t="s">
        <v>444</v>
      </c>
      <c r="U35" s="9"/>
    </row>
    <row r="36" spans="1:21" x14ac:dyDescent="0.25">
      <c r="A36" s="7" t="s">
        <v>442</v>
      </c>
      <c r="B36" s="5" t="s">
        <v>404</v>
      </c>
      <c r="D36" s="92" t="s">
        <v>404</v>
      </c>
      <c r="F36" s="14" t="s">
        <v>39</v>
      </c>
      <c r="G36" s="15" t="s">
        <v>40</v>
      </c>
      <c r="H36" s="16"/>
      <c r="I36" s="15"/>
      <c r="J36" s="15"/>
      <c r="K36" s="15"/>
      <c r="L36" s="15"/>
      <c r="M36" s="15" t="s">
        <v>20</v>
      </c>
      <c r="N36" s="15"/>
      <c r="O36" s="16"/>
      <c r="P36" s="17" t="s">
        <v>227</v>
      </c>
      <c r="Q36" s="18" t="s">
        <v>112</v>
      </c>
      <c r="R36" s="19" t="s">
        <v>501</v>
      </c>
      <c r="S36" s="19" t="s">
        <v>402</v>
      </c>
      <c r="T36" s="18" t="s">
        <v>444</v>
      </c>
      <c r="U36" s="9"/>
    </row>
    <row r="37" spans="1:21" x14ac:dyDescent="0.25">
      <c r="A37" s="7" t="s">
        <v>443</v>
      </c>
      <c r="B37" s="5" t="s">
        <v>404</v>
      </c>
      <c r="D37" s="92" t="s">
        <v>404</v>
      </c>
      <c r="F37" s="14" t="s">
        <v>39</v>
      </c>
      <c r="G37" s="15" t="s">
        <v>40</v>
      </c>
      <c r="H37" s="16"/>
      <c r="I37" s="15"/>
      <c r="J37" s="15"/>
      <c r="K37" s="15"/>
      <c r="L37" s="15"/>
      <c r="M37" s="15" t="s">
        <v>20</v>
      </c>
      <c r="N37" s="15"/>
      <c r="O37" s="16"/>
      <c r="P37" s="17" t="s">
        <v>227</v>
      </c>
      <c r="Q37" s="18" t="s">
        <v>112</v>
      </c>
      <c r="R37" s="19" t="s">
        <v>501</v>
      </c>
      <c r="S37" s="19" t="s">
        <v>403</v>
      </c>
      <c r="T37" s="18" t="s">
        <v>444</v>
      </c>
      <c r="U37" s="9"/>
    </row>
    <row r="38" spans="1:21" x14ac:dyDescent="0.25">
      <c r="A38" s="7" t="s">
        <v>518</v>
      </c>
      <c r="B38" s="5" t="s">
        <v>405</v>
      </c>
      <c r="D38" s="92" t="s">
        <v>407</v>
      </c>
      <c r="F38" s="14" t="s">
        <v>39</v>
      </c>
      <c r="G38" s="15" t="s">
        <v>40</v>
      </c>
      <c r="H38" s="16"/>
      <c r="I38" s="15"/>
      <c r="J38" s="15"/>
      <c r="K38" s="15"/>
      <c r="L38" s="15"/>
      <c r="M38" s="15" t="s">
        <v>20</v>
      </c>
      <c r="N38" s="15"/>
      <c r="O38" s="16"/>
      <c r="P38" s="17" t="s">
        <v>227</v>
      </c>
      <c r="Q38" s="18" t="s">
        <v>112</v>
      </c>
      <c r="R38" s="19" t="s">
        <v>501</v>
      </c>
      <c r="S38" s="19" t="s">
        <v>408</v>
      </c>
      <c r="T38" s="18" t="s">
        <v>444</v>
      </c>
      <c r="U38" s="9"/>
    </row>
    <row r="39" spans="1:21" x14ac:dyDescent="0.25">
      <c r="A39" s="5" t="s">
        <v>507</v>
      </c>
      <c r="F39" s="14" t="s">
        <v>60</v>
      </c>
      <c r="G39" s="15"/>
      <c r="H39" s="16"/>
      <c r="I39" s="15"/>
      <c r="J39" s="15"/>
      <c r="K39" s="15"/>
      <c r="L39" s="15"/>
      <c r="M39" s="15" t="s">
        <v>20</v>
      </c>
      <c r="N39" s="15"/>
      <c r="O39" s="16"/>
      <c r="P39" s="17" t="s">
        <v>38</v>
      </c>
      <c r="Q39" s="18"/>
      <c r="R39" s="19"/>
      <c r="S39" s="19"/>
      <c r="T39" s="18"/>
      <c r="U39" s="9"/>
    </row>
    <row r="40" spans="1:21" x14ac:dyDescent="0.25">
      <c r="A40" s="5" t="s">
        <v>508</v>
      </c>
      <c r="F40" s="14" t="s">
        <v>60</v>
      </c>
      <c r="G40" s="15"/>
      <c r="H40" s="16"/>
      <c r="I40" s="15"/>
      <c r="J40" s="15"/>
      <c r="K40" s="15"/>
      <c r="L40" s="15"/>
      <c r="M40" s="15" t="s">
        <v>20</v>
      </c>
      <c r="N40" s="15"/>
      <c r="O40" s="16"/>
      <c r="P40" s="17" t="s">
        <v>38</v>
      </c>
      <c r="Q40" s="18"/>
      <c r="R40" s="19"/>
      <c r="S40" s="19"/>
      <c r="T40" s="18"/>
      <c r="U40" s="9"/>
    </row>
    <row r="41" spans="1:21" x14ac:dyDescent="0.25">
      <c r="A41" s="5" t="s">
        <v>509</v>
      </c>
      <c r="F41" s="14" t="s">
        <v>60</v>
      </c>
      <c r="G41" s="15"/>
      <c r="H41" s="16"/>
      <c r="I41" s="15"/>
      <c r="J41" s="15"/>
      <c r="K41" s="15"/>
      <c r="L41" s="15"/>
      <c r="M41" s="15" t="s">
        <v>20</v>
      </c>
      <c r="N41" s="15"/>
      <c r="O41" s="16"/>
      <c r="P41" s="17" t="s">
        <v>38</v>
      </c>
      <c r="Q41" s="18"/>
      <c r="R41" s="19"/>
      <c r="S41" s="19"/>
      <c r="T41" s="18"/>
      <c r="U41" s="9"/>
    </row>
    <row r="42" spans="1:21" x14ac:dyDescent="0.25">
      <c r="A42" s="7" t="s">
        <v>510</v>
      </c>
      <c r="F42" s="14" t="s">
        <v>60</v>
      </c>
      <c r="G42" s="15"/>
      <c r="H42" s="16"/>
      <c r="I42" s="15"/>
      <c r="J42" s="15"/>
      <c r="K42" s="15"/>
      <c r="L42" s="15"/>
      <c r="M42" s="15" t="s">
        <v>20</v>
      </c>
      <c r="N42" s="15"/>
      <c r="O42" s="16"/>
      <c r="P42" s="17" t="s">
        <v>38</v>
      </c>
      <c r="Q42" s="18"/>
      <c r="R42" s="19"/>
      <c r="S42" s="19"/>
      <c r="T42" s="18"/>
      <c r="U42" s="9"/>
    </row>
    <row r="43" spans="1:21" x14ac:dyDescent="0.25">
      <c r="A43" s="7" t="s">
        <v>511</v>
      </c>
      <c r="F43" s="14" t="s">
        <v>60</v>
      </c>
      <c r="G43" s="15"/>
      <c r="H43" s="16"/>
      <c r="I43" s="15"/>
      <c r="J43" s="15"/>
      <c r="K43" s="15"/>
      <c r="L43" s="15"/>
      <c r="M43" s="15" t="s">
        <v>20</v>
      </c>
      <c r="N43" s="15"/>
      <c r="O43" s="16"/>
      <c r="P43" s="17" t="s">
        <v>38</v>
      </c>
      <c r="Q43" s="18"/>
      <c r="R43" s="19"/>
      <c r="S43" s="19"/>
      <c r="T43" s="18"/>
      <c r="U43" s="9"/>
    </row>
    <row r="44" spans="1:21" x14ac:dyDescent="0.25">
      <c r="A44" s="7" t="s">
        <v>512</v>
      </c>
      <c r="F44" s="14" t="s">
        <v>60</v>
      </c>
      <c r="G44" s="15"/>
      <c r="H44" s="16"/>
      <c r="I44" s="15"/>
      <c r="J44" s="15"/>
      <c r="K44" s="15"/>
      <c r="L44" s="15"/>
      <c r="M44" s="15" t="s">
        <v>20</v>
      </c>
      <c r="N44" s="15"/>
      <c r="O44" s="16"/>
      <c r="P44" s="17" t="s">
        <v>38</v>
      </c>
      <c r="Q44" s="18"/>
      <c r="R44" s="19"/>
      <c r="S44" s="19"/>
      <c r="T44" s="18"/>
      <c r="U44" s="9"/>
    </row>
    <row r="45" spans="1:21" x14ac:dyDescent="0.25">
      <c r="A45" s="7" t="s">
        <v>513</v>
      </c>
      <c r="F45" s="14" t="s">
        <v>60</v>
      </c>
      <c r="G45" s="15"/>
      <c r="H45" s="16"/>
      <c r="I45" s="15"/>
      <c r="J45" s="15"/>
      <c r="K45" s="15"/>
      <c r="L45" s="15"/>
      <c r="M45" s="15" t="s">
        <v>20</v>
      </c>
      <c r="N45" s="15"/>
      <c r="O45" s="16"/>
      <c r="P45" s="17" t="s">
        <v>38</v>
      </c>
      <c r="Q45" s="18"/>
      <c r="R45" s="19"/>
      <c r="S45" s="19"/>
      <c r="T45" s="18"/>
      <c r="U45" s="9"/>
    </row>
    <row r="46" spans="1:21" x14ac:dyDescent="0.25">
      <c r="A46" s="5" t="s">
        <v>514</v>
      </c>
      <c r="F46" s="14" t="s">
        <v>60</v>
      </c>
      <c r="G46" s="15"/>
      <c r="H46" s="16"/>
      <c r="I46" s="15"/>
      <c r="J46" s="15"/>
      <c r="K46" s="15"/>
      <c r="L46" s="15"/>
      <c r="M46" s="15" t="s">
        <v>20</v>
      </c>
      <c r="N46" s="15"/>
      <c r="O46" s="16"/>
      <c r="P46" s="17" t="s">
        <v>38</v>
      </c>
      <c r="Q46" s="18"/>
      <c r="R46" s="19"/>
      <c r="S46" s="19"/>
      <c r="T46" s="18"/>
    </row>
    <row r="47" spans="1:21" x14ac:dyDescent="0.25">
      <c r="A47" s="5" t="s">
        <v>515</v>
      </c>
      <c r="F47" s="14" t="s">
        <v>60</v>
      </c>
      <c r="G47" s="15"/>
      <c r="H47" s="16"/>
      <c r="I47" s="15"/>
      <c r="J47" s="15"/>
      <c r="K47" s="15"/>
      <c r="L47" s="15"/>
      <c r="M47" s="15" t="s">
        <v>20</v>
      </c>
      <c r="N47" s="15"/>
      <c r="O47" s="16"/>
      <c r="P47" s="17" t="s">
        <v>38</v>
      </c>
      <c r="Q47" s="18"/>
      <c r="R47" s="19"/>
      <c r="S47" s="19"/>
      <c r="T47" s="18"/>
    </row>
    <row r="48" spans="1:21" x14ac:dyDescent="0.25">
      <c r="A48" s="5" t="s">
        <v>516</v>
      </c>
      <c r="F48" s="14" t="s">
        <v>60</v>
      </c>
      <c r="G48" s="15"/>
      <c r="H48" s="16"/>
      <c r="I48" s="15"/>
      <c r="J48" s="15"/>
      <c r="K48" s="15"/>
      <c r="L48" s="15"/>
      <c r="M48" s="15" t="s">
        <v>20</v>
      </c>
      <c r="N48" s="15"/>
      <c r="O48" s="16"/>
      <c r="P48" s="17" t="s">
        <v>38</v>
      </c>
      <c r="Q48" s="18"/>
      <c r="R48" s="19"/>
      <c r="S48" s="19"/>
      <c r="T48" s="18"/>
    </row>
    <row r="49" spans="1:21" x14ac:dyDescent="0.25">
      <c r="A49" s="7" t="s">
        <v>519</v>
      </c>
      <c r="F49" s="14" t="s">
        <v>60</v>
      </c>
      <c r="G49" s="15"/>
      <c r="H49" s="16"/>
      <c r="I49" s="15"/>
      <c r="J49" s="15"/>
      <c r="K49" s="15"/>
      <c r="L49" s="15"/>
      <c r="M49" s="15" t="s">
        <v>20</v>
      </c>
      <c r="N49" s="15"/>
      <c r="O49" s="16"/>
      <c r="P49" s="17" t="s">
        <v>38</v>
      </c>
      <c r="Q49" s="18"/>
      <c r="R49" s="19"/>
      <c r="S49" s="19"/>
      <c r="T49" s="18"/>
    </row>
    <row r="50" spans="1:21" x14ac:dyDescent="0.25">
      <c r="A50" s="10" t="s">
        <v>283</v>
      </c>
      <c r="B50" s="10" t="s">
        <v>143</v>
      </c>
      <c r="C50" s="10" t="s">
        <v>120</v>
      </c>
      <c r="D50" s="13" t="s">
        <v>123</v>
      </c>
      <c r="E50" s="10" t="s">
        <v>124</v>
      </c>
      <c r="F50" s="14" t="s">
        <v>129</v>
      </c>
      <c r="G50" s="15">
        <v>7</v>
      </c>
      <c r="H50" s="16"/>
      <c r="I50" s="15"/>
      <c r="J50" s="15"/>
      <c r="K50" s="15"/>
      <c r="L50" s="15"/>
      <c r="M50" s="15" t="s">
        <v>20</v>
      </c>
      <c r="N50" s="15"/>
      <c r="O50" s="16"/>
      <c r="P50" s="17" t="s">
        <v>227</v>
      </c>
      <c r="Q50" s="18" t="s">
        <v>112</v>
      </c>
      <c r="R50" s="19" t="s">
        <v>501</v>
      </c>
      <c r="S50" s="19" t="s">
        <v>283</v>
      </c>
      <c r="T50" s="18" t="s">
        <v>229</v>
      </c>
      <c r="U50" s="9"/>
    </row>
    <row r="51" spans="1:21" x14ac:dyDescent="0.25">
      <c r="A51" s="10" t="s">
        <v>284</v>
      </c>
      <c r="B51" s="10" t="s">
        <v>118</v>
      </c>
      <c r="C51" s="10" t="s">
        <v>119</v>
      </c>
      <c r="D51" s="11" t="s">
        <v>116</v>
      </c>
      <c r="F51" s="14" t="s">
        <v>39</v>
      </c>
      <c r="G51" s="15">
        <v>50</v>
      </c>
      <c r="H51" s="16"/>
      <c r="I51" s="15"/>
      <c r="J51" s="15"/>
      <c r="K51" s="15"/>
      <c r="L51" s="15"/>
      <c r="M51" s="15" t="s">
        <v>20</v>
      </c>
      <c r="N51" s="15"/>
      <c r="O51" s="16"/>
      <c r="P51" s="17" t="s">
        <v>227</v>
      </c>
      <c r="Q51" s="18" t="s">
        <v>112</v>
      </c>
      <c r="R51" s="19" t="s">
        <v>501</v>
      </c>
      <c r="S51" s="19" t="s">
        <v>284</v>
      </c>
      <c r="T51" s="18" t="s">
        <v>228</v>
      </c>
      <c r="U51" s="9"/>
    </row>
    <row r="52" spans="1:21" x14ac:dyDescent="0.25">
      <c r="A52" s="10" t="s">
        <v>503</v>
      </c>
      <c r="B52" s="10" t="s">
        <v>504</v>
      </c>
      <c r="D52" s="13" t="s">
        <v>287</v>
      </c>
      <c r="E52" s="10" t="s">
        <v>124</v>
      </c>
      <c r="F52" s="14" t="s">
        <v>60</v>
      </c>
      <c r="G52" s="15"/>
      <c r="H52" s="16"/>
      <c r="I52" s="15"/>
      <c r="J52" s="15"/>
      <c r="K52" s="15"/>
      <c r="L52" s="15"/>
      <c r="M52" s="15" t="s">
        <v>20</v>
      </c>
      <c r="N52" s="15"/>
      <c r="O52" s="16"/>
      <c r="P52" s="17" t="s">
        <v>38</v>
      </c>
      <c r="Q52" s="18"/>
      <c r="R52" s="19"/>
      <c r="S52" s="19"/>
      <c r="T52" s="18"/>
      <c r="U52" s="9"/>
    </row>
    <row r="53" spans="1:21" x14ac:dyDescent="0.25">
      <c r="A53" s="10" t="s">
        <v>505</v>
      </c>
      <c r="B53" s="10" t="s">
        <v>506</v>
      </c>
      <c r="D53" s="11">
        <v>2</v>
      </c>
      <c r="F53" s="14" t="s">
        <v>60</v>
      </c>
      <c r="G53" s="15"/>
      <c r="H53" s="16"/>
      <c r="I53" s="15"/>
      <c r="J53" s="15"/>
      <c r="K53" s="15"/>
      <c r="L53" s="15"/>
      <c r="M53" s="15" t="s">
        <v>20</v>
      </c>
      <c r="N53" s="15"/>
      <c r="O53" s="16"/>
      <c r="P53" s="17" t="s">
        <v>38</v>
      </c>
      <c r="Q53" s="18"/>
      <c r="R53" s="19"/>
      <c r="S53" s="19"/>
      <c r="T53" s="18"/>
      <c r="U53" s="9"/>
    </row>
    <row r="54" spans="1:21" x14ac:dyDescent="0.25">
      <c r="A54" s="10" t="s">
        <v>125</v>
      </c>
      <c r="B54" s="10" t="s">
        <v>288</v>
      </c>
      <c r="C54" s="10" t="s">
        <v>128</v>
      </c>
      <c r="F54" s="14" t="s">
        <v>39</v>
      </c>
      <c r="G54" s="15">
        <v>256</v>
      </c>
      <c r="H54" s="16"/>
      <c r="I54" s="15"/>
      <c r="J54" s="15"/>
      <c r="K54" s="15"/>
      <c r="L54" s="15"/>
      <c r="M54" s="15" t="s">
        <v>20</v>
      </c>
      <c r="N54" s="15"/>
      <c r="O54" s="16"/>
      <c r="P54" s="17" t="s">
        <v>38</v>
      </c>
      <c r="Q54" s="18"/>
      <c r="R54" s="19"/>
      <c r="S54" s="19"/>
      <c r="T54" s="18"/>
      <c r="U54" s="9"/>
    </row>
  </sheetData>
  <mergeCells count="2">
    <mergeCell ref="F8:O8"/>
    <mergeCell ref="P8:T8"/>
  </mergeCells>
  <dataValidations disablePrompts="1" count="2">
    <dataValidation type="list" allowBlank="1" showInputMessage="1" showErrorMessage="1" promptTitle="Table Type" prompt="PK Type" sqref="B4">
      <formula1>"CLUSTERED,NONCLUSTERD"</formula1>
    </dataValidation>
    <dataValidation type="list" allowBlank="1" showInputMessage="1" showErrorMessage="1" sqref="B5">
      <formula1>"Y, N"</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Schemas!$A$10:$A$39</xm:f>
          </x14:formula1>
          <xm:sqref>B1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6">
    <tabColor rgb="FF4F81BD"/>
  </sheetPr>
  <dimension ref="A1:U30"/>
  <sheetViews>
    <sheetView workbookViewId="0">
      <selection activeCell="D21" sqref="D21"/>
    </sheetView>
  </sheetViews>
  <sheetFormatPr baseColWidth="10" defaultColWidth="9.21875" defaultRowHeight="13.2" x14ac:dyDescent="0.25"/>
  <cols>
    <col min="1" max="1" width="25" style="10" customWidth="1"/>
    <col min="2" max="2" width="26.5546875" style="10" customWidth="1"/>
    <col min="3" max="3" width="11.5546875" style="10" customWidth="1"/>
    <col min="4" max="4" width="23.4414062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6.77734375" style="10" customWidth="1"/>
    <col min="16" max="16" width="10.44140625" style="10" customWidth="1"/>
    <col min="17" max="17" width="12" style="10" bestFit="1" customWidth="1"/>
    <col min="18" max="18" width="13.5546875" style="10" bestFit="1" customWidth="1"/>
    <col min="19" max="19" width="20.5546875" style="10" bestFit="1" customWidth="1"/>
    <col min="20" max="20" width="14.21875" style="10" customWidth="1"/>
    <col min="21" max="16384" width="9.21875" style="10"/>
  </cols>
  <sheetData>
    <row r="1" spans="1:21" x14ac:dyDescent="0.25">
      <c r="A1" s="102" t="s">
        <v>28</v>
      </c>
      <c r="B1" s="5" t="s">
        <v>131</v>
      </c>
      <c r="C1" s="34" t="s">
        <v>312</v>
      </c>
      <c r="D1" s="23"/>
      <c r="E1" s="23"/>
      <c r="F1" s="23"/>
      <c r="G1" s="23"/>
      <c r="H1" s="23"/>
      <c r="I1" s="23"/>
      <c r="J1" s="23"/>
      <c r="K1" s="23"/>
      <c r="L1" s="23"/>
      <c r="M1" s="23"/>
      <c r="N1" s="23"/>
      <c r="O1" s="23"/>
      <c r="P1" s="23"/>
      <c r="Q1" s="23"/>
      <c r="R1" s="23"/>
      <c r="S1" s="23"/>
      <c r="T1" s="23"/>
    </row>
    <row r="2" spans="1:21" x14ac:dyDescent="0.25">
      <c r="A2" s="102" t="s">
        <v>3</v>
      </c>
      <c r="B2" s="25" t="s">
        <v>501</v>
      </c>
      <c r="C2" s="34" t="s">
        <v>313</v>
      </c>
      <c r="D2" s="23"/>
      <c r="E2" s="23"/>
      <c r="F2" s="23"/>
      <c r="G2" s="23"/>
      <c r="H2" s="23"/>
      <c r="I2" s="23"/>
      <c r="J2" s="23"/>
      <c r="K2" s="23"/>
      <c r="L2" s="23"/>
      <c r="M2" s="23"/>
      <c r="N2" s="23"/>
      <c r="O2" s="23"/>
      <c r="P2" s="23"/>
      <c r="Q2" s="23"/>
      <c r="R2" s="23"/>
      <c r="S2" s="23"/>
      <c r="T2" s="23"/>
    </row>
    <row r="3" spans="1:21" s="1" customFormat="1" x14ac:dyDescent="0.25">
      <c r="A3" s="103" t="s">
        <v>29</v>
      </c>
      <c r="B3" s="25" t="s">
        <v>502</v>
      </c>
      <c r="C3" s="35" t="s">
        <v>335</v>
      </c>
      <c r="D3" s="24"/>
      <c r="E3" s="23"/>
      <c r="F3" s="23"/>
      <c r="G3" s="23"/>
      <c r="H3" s="23"/>
      <c r="I3" s="23"/>
      <c r="J3" s="23"/>
      <c r="K3" s="23"/>
      <c r="L3" s="23"/>
      <c r="M3" s="23"/>
      <c r="N3" s="23"/>
      <c r="O3" s="23"/>
      <c r="P3" s="23"/>
      <c r="Q3" s="23"/>
      <c r="R3" s="23"/>
      <c r="S3" s="23"/>
      <c r="T3" s="23"/>
    </row>
    <row r="4" spans="1:21" s="1" customFormat="1" x14ac:dyDescent="0.25">
      <c r="A4" s="103" t="s">
        <v>305</v>
      </c>
      <c r="B4" s="5" t="s">
        <v>306</v>
      </c>
      <c r="C4" s="35" t="s">
        <v>311</v>
      </c>
      <c r="D4" s="24"/>
      <c r="E4" s="23"/>
      <c r="F4" s="23"/>
      <c r="G4" s="23"/>
      <c r="H4" s="23"/>
      <c r="I4" s="23"/>
      <c r="J4" s="23"/>
      <c r="K4" s="23"/>
      <c r="L4" s="23"/>
      <c r="M4" s="23"/>
      <c r="N4" s="23"/>
      <c r="O4" s="23"/>
      <c r="P4" s="23"/>
      <c r="Q4" s="23"/>
      <c r="R4" s="23"/>
      <c r="S4" s="23"/>
      <c r="T4" s="23"/>
    </row>
    <row r="5" spans="1:21" s="1" customFormat="1" x14ac:dyDescent="0.25">
      <c r="A5" s="103" t="s">
        <v>333</v>
      </c>
      <c r="B5" s="7" t="s">
        <v>20</v>
      </c>
      <c r="C5" s="35" t="s">
        <v>334</v>
      </c>
      <c r="D5" s="24"/>
      <c r="E5" s="23"/>
      <c r="F5" s="23"/>
      <c r="G5" s="23"/>
      <c r="H5" s="23"/>
      <c r="I5" s="23"/>
      <c r="J5" s="23"/>
      <c r="K5" s="23"/>
      <c r="L5" s="23"/>
      <c r="M5" s="23"/>
      <c r="N5" s="23"/>
      <c r="O5" s="23"/>
      <c r="P5" s="23"/>
      <c r="Q5" s="23"/>
      <c r="R5" s="23"/>
      <c r="S5" s="23"/>
      <c r="T5" s="23"/>
    </row>
    <row r="6" spans="1:21" s="1" customFormat="1" x14ac:dyDescent="0.25">
      <c r="A6" s="103"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x14ac:dyDescent="0.25">
      <c r="A8" s="104"/>
      <c r="B8" s="104"/>
      <c r="C8" s="104"/>
      <c r="D8" s="105"/>
      <c r="E8" s="105"/>
      <c r="F8" s="128" t="s">
        <v>8</v>
      </c>
      <c r="G8" s="129"/>
      <c r="H8" s="129"/>
      <c r="I8" s="129"/>
      <c r="J8" s="129"/>
      <c r="K8" s="129"/>
      <c r="L8" s="129"/>
      <c r="M8" s="129"/>
      <c r="N8" s="129"/>
      <c r="O8" s="130"/>
      <c r="P8" s="131" t="s">
        <v>9</v>
      </c>
      <c r="Q8" s="132"/>
      <c r="R8" s="132"/>
      <c r="S8" s="132"/>
      <c r="T8" s="133"/>
    </row>
    <row r="9" spans="1:21" s="4" customFormat="1" ht="26.4" x14ac:dyDescent="0.25">
      <c r="A9" s="106" t="s">
        <v>4</v>
      </c>
      <c r="B9" s="106" t="s">
        <v>26</v>
      </c>
      <c r="C9" s="106" t="s">
        <v>7</v>
      </c>
      <c r="D9" s="106" t="s">
        <v>10</v>
      </c>
      <c r="E9" s="106" t="s">
        <v>13</v>
      </c>
      <c r="F9" s="107" t="s">
        <v>11</v>
      </c>
      <c r="G9" s="108" t="s">
        <v>6</v>
      </c>
      <c r="H9" s="108" t="s">
        <v>12</v>
      </c>
      <c r="I9" s="108" t="s">
        <v>87</v>
      </c>
      <c r="J9" s="108" t="s">
        <v>308</v>
      </c>
      <c r="K9" s="108" t="s">
        <v>309</v>
      </c>
      <c r="L9" s="108" t="s">
        <v>14</v>
      </c>
      <c r="M9" s="108" t="s">
        <v>287</v>
      </c>
      <c r="N9" s="108" t="s">
        <v>385</v>
      </c>
      <c r="O9" s="109" t="s">
        <v>15</v>
      </c>
      <c r="P9" s="110" t="s">
        <v>21</v>
      </c>
      <c r="Q9" s="108" t="s">
        <v>22</v>
      </c>
      <c r="R9" s="108" t="s">
        <v>23</v>
      </c>
      <c r="S9" s="108" t="s">
        <v>24</v>
      </c>
      <c r="T9" s="109" t="s">
        <v>16</v>
      </c>
    </row>
    <row r="10" spans="1:21" x14ac:dyDescent="0.25">
      <c r="A10" s="7" t="s">
        <v>46</v>
      </c>
      <c r="B10" s="5" t="s">
        <v>46</v>
      </c>
      <c r="D10" s="13" t="s">
        <v>389</v>
      </c>
      <c r="F10" s="14" t="s">
        <v>60</v>
      </c>
      <c r="G10" s="15"/>
      <c r="H10" s="16"/>
      <c r="I10" s="15" t="s">
        <v>87</v>
      </c>
      <c r="J10" s="15"/>
      <c r="K10" s="15"/>
      <c r="L10" s="15"/>
      <c r="M10" s="15" t="s">
        <v>5</v>
      </c>
      <c r="N10" s="15"/>
      <c r="O10" s="16"/>
      <c r="P10" s="17" t="s">
        <v>227</v>
      </c>
      <c r="Q10" s="18" t="s">
        <v>130</v>
      </c>
      <c r="R10" s="19" t="s">
        <v>501</v>
      </c>
      <c r="S10" s="19" t="s">
        <v>46</v>
      </c>
      <c r="T10" s="18" t="s">
        <v>60</v>
      </c>
      <c r="U10" s="9"/>
    </row>
    <row r="11" spans="1:21" x14ac:dyDescent="0.25">
      <c r="A11" s="7" t="s">
        <v>410</v>
      </c>
      <c r="B11" s="5"/>
      <c r="D11" s="91" t="s">
        <v>425</v>
      </c>
      <c r="F11" s="14" t="s">
        <v>39</v>
      </c>
      <c r="G11" s="15">
        <v>50</v>
      </c>
      <c r="H11" s="16"/>
      <c r="I11" s="15"/>
      <c r="J11" s="15"/>
      <c r="K11" s="15"/>
      <c r="L11" s="15"/>
      <c r="M11" s="15" t="s">
        <v>20</v>
      </c>
      <c r="N11" s="15"/>
      <c r="O11" s="16"/>
      <c r="P11" s="17" t="s">
        <v>227</v>
      </c>
      <c r="Q11" s="18" t="s">
        <v>130</v>
      </c>
      <c r="R11" s="19" t="s">
        <v>501</v>
      </c>
      <c r="S11" s="19" t="s">
        <v>410</v>
      </c>
      <c r="T11" s="18" t="s">
        <v>444</v>
      </c>
      <c r="U11" s="9"/>
    </row>
    <row r="12" spans="1:21" x14ac:dyDescent="0.25">
      <c r="A12" s="5" t="s">
        <v>411</v>
      </c>
      <c r="B12" s="10" t="s">
        <v>143</v>
      </c>
      <c r="C12" s="10" t="s">
        <v>120</v>
      </c>
      <c r="D12" s="13" t="s">
        <v>123</v>
      </c>
      <c r="E12" s="10" t="s">
        <v>124</v>
      </c>
      <c r="F12" s="14" t="s">
        <v>129</v>
      </c>
      <c r="G12" s="15">
        <v>7</v>
      </c>
      <c r="H12" s="16"/>
      <c r="I12" s="15"/>
      <c r="J12" s="15"/>
      <c r="K12" s="15"/>
      <c r="L12" s="15"/>
      <c r="M12" s="15" t="s">
        <v>20</v>
      </c>
      <c r="N12" s="15"/>
      <c r="O12" s="16"/>
      <c r="P12" s="17" t="s">
        <v>227</v>
      </c>
      <c r="Q12" s="18" t="s">
        <v>130</v>
      </c>
      <c r="R12" s="19" t="s">
        <v>501</v>
      </c>
      <c r="S12" s="19" t="s">
        <v>411</v>
      </c>
      <c r="T12" s="18" t="s">
        <v>444</v>
      </c>
      <c r="U12" s="9"/>
    </row>
    <row r="13" spans="1:21" x14ac:dyDescent="0.25">
      <c r="A13" s="5" t="s">
        <v>412</v>
      </c>
      <c r="B13" s="10" t="s">
        <v>118</v>
      </c>
      <c r="C13" s="10" t="s">
        <v>119</v>
      </c>
      <c r="D13" s="11" t="s">
        <v>390</v>
      </c>
      <c r="F13" s="14" t="s">
        <v>39</v>
      </c>
      <c r="G13" s="15">
        <v>50</v>
      </c>
      <c r="H13" s="16"/>
      <c r="I13" s="15"/>
      <c r="J13" s="15"/>
      <c r="K13" s="15"/>
      <c r="L13" s="15"/>
      <c r="M13" s="15" t="s">
        <v>20</v>
      </c>
      <c r="N13" s="15"/>
      <c r="O13" s="16"/>
      <c r="P13" s="17" t="s">
        <v>227</v>
      </c>
      <c r="Q13" s="18" t="s">
        <v>130</v>
      </c>
      <c r="R13" s="19" t="s">
        <v>501</v>
      </c>
      <c r="S13" s="19" t="s">
        <v>412</v>
      </c>
      <c r="T13" s="18" t="s">
        <v>444</v>
      </c>
      <c r="U13" s="9"/>
    </row>
    <row r="14" spans="1:21" x14ac:dyDescent="0.25">
      <c r="A14" s="5" t="s">
        <v>413</v>
      </c>
      <c r="B14" s="5" t="s">
        <v>418</v>
      </c>
      <c r="D14" s="111" t="s">
        <v>406</v>
      </c>
      <c r="F14" s="14" t="s">
        <v>39</v>
      </c>
      <c r="G14" s="15">
        <v>256</v>
      </c>
      <c r="H14" s="16"/>
      <c r="I14" s="15"/>
      <c r="J14" s="15"/>
      <c r="K14" s="15"/>
      <c r="L14" s="15"/>
      <c r="M14" s="15" t="s">
        <v>20</v>
      </c>
      <c r="N14" s="15"/>
      <c r="O14" s="16"/>
      <c r="P14" s="17" t="s">
        <v>227</v>
      </c>
      <c r="Q14" s="18" t="s">
        <v>130</v>
      </c>
      <c r="R14" s="19" t="s">
        <v>501</v>
      </c>
      <c r="S14" s="19" t="s">
        <v>413</v>
      </c>
      <c r="T14" s="18" t="s">
        <v>444</v>
      </c>
      <c r="U14" s="9"/>
    </row>
    <row r="15" spans="1:21" x14ac:dyDescent="0.25">
      <c r="A15" s="7" t="s">
        <v>414</v>
      </c>
      <c r="B15" s="7" t="s">
        <v>419</v>
      </c>
      <c r="D15" s="111" t="s">
        <v>406</v>
      </c>
      <c r="F15" s="14" t="s">
        <v>39</v>
      </c>
      <c r="G15" s="15">
        <v>256</v>
      </c>
      <c r="H15" s="16"/>
      <c r="I15" s="15"/>
      <c r="J15" s="15"/>
      <c r="K15" s="15"/>
      <c r="L15" s="15"/>
      <c r="M15" s="15" t="s">
        <v>5</v>
      </c>
      <c r="N15" s="15"/>
      <c r="O15" s="16"/>
      <c r="P15" s="17" t="s">
        <v>227</v>
      </c>
      <c r="Q15" s="18" t="s">
        <v>130</v>
      </c>
      <c r="R15" s="19" t="s">
        <v>501</v>
      </c>
      <c r="S15" s="19" t="s">
        <v>414</v>
      </c>
      <c r="T15" s="18" t="s">
        <v>444</v>
      </c>
      <c r="U15" s="9"/>
    </row>
    <row r="16" spans="1:21" x14ac:dyDescent="0.25">
      <c r="A16" s="7" t="s">
        <v>415</v>
      </c>
      <c r="B16" s="7" t="s">
        <v>420</v>
      </c>
      <c r="D16" s="111" t="s">
        <v>406</v>
      </c>
      <c r="F16" s="14" t="s">
        <v>39</v>
      </c>
      <c r="G16" s="15">
        <v>256</v>
      </c>
      <c r="H16" s="16"/>
      <c r="I16" s="15"/>
      <c r="J16" s="15"/>
      <c r="K16" s="15"/>
      <c r="L16" s="15"/>
      <c r="M16" s="15" t="s">
        <v>5</v>
      </c>
      <c r="N16" s="15"/>
      <c r="O16" s="16"/>
      <c r="P16" s="17" t="s">
        <v>227</v>
      </c>
      <c r="Q16" s="18" t="s">
        <v>130</v>
      </c>
      <c r="R16" s="19" t="s">
        <v>501</v>
      </c>
      <c r="S16" s="19" t="s">
        <v>415</v>
      </c>
      <c r="T16" s="18" t="s">
        <v>444</v>
      </c>
      <c r="U16" s="9"/>
    </row>
    <row r="17" spans="1:21" x14ac:dyDescent="0.25">
      <c r="A17" s="5" t="s">
        <v>416</v>
      </c>
      <c r="B17" s="5" t="s">
        <v>416</v>
      </c>
      <c r="D17" s="112" t="s">
        <v>417</v>
      </c>
      <c r="F17" s="14" t="s">
        <v>39</v>
      </c>
      <c r="G17" s="15">
        <v>100</v>
      </c>
      <c r="H17" s="16"/>
      <c r="I17" s="15"/>
      <c r="J17" s="15"/>
      <c r="K17" s="15"/>
      <c r="L17" s="15"/>
      <c r="M17" s="15" t="s">
        <v>20</v>
      </c>
      <c r="N17" s="15"/>
      <c r="O17" s="16"/>
      <c r="P17" s="17" t="s">
        <v>227</v>
      </c>
      <c r="Q17" s="18" t="s">
        <v>130</v>
      </c>
      <c r="R17" s="19" t="s">
        <v>501</v>
      </c>
      <c r="S17" s="19" t="s">
        <v>416</v>
      </c>
      <c r="T17" s="18" t="s">
        <v>444</v>
      </c>
      <c r="U17" s="9"/>
    </row>
    <row r="18" spans="1:21" x14ac:dyDescent="0.25">
      <c r="A18" s="5" t="s">
        <v>421</v>
      </c>
      <c r="B18" s="5" t="s">
        <v>423</v>
      </c>
      <c r="D18" s="5" t="s">
        <v>423</v>
      </c>
      <c r="F18" s="14" t="s">
        <v>39</v>
      </c>
      <c r="G18" s="15">
        <v>100</v>
      </c>
      <c r="H18" s="16"/>
      <c r="I18" s="15"/>
      <c r="J18" s="15"/>
      <c r="K18" s="15"/>
      <c r="L18" s="15"/>
      <c r="M18" s="15" t="s">
        <v>20</v>
      </c>
      <c r="N18" s="15"/>
      <c r="O18" s="16"/>
      <c r="P18" s="17" t="s">
        <v>227</v>
      </c>
      <c r="Q18" s="18" t="s">
        <v>130</v>
      </c>
      <c r="R18" s="19" t="s">
        <v>501</v>
      </c>
      <c r="S18" s="19" t="s">
        <v>421</v>
      </c>
      <c r="T18" s="18" t="s">
        <v>444</v>
      </c>
      <c r="U18" s="9"/>
    </row>
    <row r="19" spans="1:21" x14ac:dyDescent="0.25">
      <c r="A19" s="5" t="s">
        <v>422</v>
      </c>
      <c r="B19" s="5" t="s">
        <v>424</v>
      </c>
      <c r="D19" s="5" t="s">
        <v>424</v>
      </c>
      <c r="F19" s="14" t="s">
        <v>39</v>
      </c>
      <c r="G19" s="15">
        <v>100</v>
      </c>
      <c r="H19" s="16"/>
      <c r="I19" s="15"/>
      <c r="J19" s="15"/>
      <c r="K19" s="15"/>
      <c r="L19" s="15"/>
      <c r="M19" s="15" t="s">
        <v>20</v>
      </c>
      <c r="N19" s="15"/>
      <c r="O19" s="16"/>
      <c r="P19" s="17" t="s">
        <v>227</v>
      </c>
      <c r="Q19" s="18" t="s">
        <v>130</v>
      </c>
      <c r="R19" s="19" t="s">
        <v>501</v>
      </c>
      <c r="S19" s="19" t="s">
        <v>422</v>
      </c>
      <c r="T19" s="18" t="s">
        <v>444</v>
      </c>
      <c r="U19" s="9"/>
    </row>
    <row r="20" spans="1:21" x14ac:dyDescent="0.25">
      <c r="A20" s="7" t="s">
        <v>400</v>
      </c>
      <c r="B20" s="5" t="s">
        <v>404</v>
      </c>
      <c r="D20" s="92" t="s">
        <v>404</v>
      </c>
      <c r="F20" s="14" t="s">
        <v>39</v>
      </c>
      <c r="G20" s="15">
        <v>100</v>
      </c>
      <c r="H20" s="16"/>
      <c r="I20" s="15"/>
      <c r="J20" s="15"/>
      <c r="K20" s="15"/>
      <c r="L20" s="15"/>
      <c r="M20" s="15" t="s">
        <v>20</v>
      </c>
      <c r="N20" s="15"/>
      <c r="O20" s="16"/>
      <c r="P20" s="17" t="s">
        <v>227</v>
      </c>
      <c r="Q20" s="18" t="s">
        <v>130</v>
      </c>
      <c r="R20" s="19" t="s">
        <v>501</v>
      </c>
      <c r="S20" s="19" t="s">
        <v>400</v>
      </c>
      <c r="T20" s="18" t="s">
        <v>444</v>
      </c>
      <c r="U20" s="9"/>
    </row>
    <row r="21" spans="1:21" x14ac:dyDescent="0.25">
      <c r="A21" s="7" t="s">
        <v>401</v>
      </c>
      <c r="B21" s="5" t="s">
        <v>404</v>
      </c>
      <c r="D21" s="92" t="s">
        <v>404</v>
      </c>
      <c r="F21" s="14" t="s">
        <v>39</v>
      </c>
      <c r="G21" s="15">
        <v>200</v>
      </c>
      <c r="H21" s="16"/>
      <c r="I21" s="15"/>
      <c r="J21" s="15"/>
      <c r="K21" s="15"/>
      <c r="L21" s="15"/>
      <c r="M21" s="15" t="s">
        <v>20</v>
      </c>
      <c r="N21" s="15"/>
      <c r="O21" s="16"/>
      <c r="P21" s="17" t="s">
        <v>227</v>
      </c>
      <c r="Q21" s="18" t="s">
        <v>130</v>
      </c>
      <c r="R21" s="19" t="s">
        <v>501</v>
      </c>
      <c r="S21" s="19" t="s">
        <v>401</v>
      </c>
      <c r="T21" s="18" t="s">
        <v>444</v>
      </c>
      <c r="U21" s="9"/>
    </row>
    <row r="22" spans="1:21" x14ac:dyDescent="0.25">
      <c r="A22" s="7" t="s">
        <v>402</v>
      </c>
      <c r="B22" s="5" t="s">
        <v>404</v>
      </c>
      <c r="D22" s="92" t="s">
        <v>404</v>
      </c>
      <c r="F22" s="14" t="s">
        <v>39</v>
      </c>
      <c r="G22" s="15">
        <v>500</v>
      </c>
      <c r="H22" s="16"/>
      <c r="I22" s="15"/>
      <c r="J22" s="15"/>
      <c r="K22" s="15"/>
      <c r="L22" s="15"/>
      <c r="M22" s="15" t="s">
        <v>20</v>
      </c>
      <c r="N22" s="15"/>
      <c r="O22" s="16"/>
      <c r="P22" s="17" t="s">
        <v>227</v>
      </c>
      <c r="Q22" s="18" t="s">
        <v>130</v>
      </c>
      <c r="R22" s="19" t="s">
        <v>501</v>
      </c>
      <c r="S22" s="19" t="s">
        <v>402</v>
      </c>
      <c r="T22" s="18" t="s">
        <v>444</v>
      </c>
      <c r="U22" s="9"/>
    </row>
    <row r="23" spans="1:21" x14ac:dyDescent="0.25">
      <c r="A23" s="7" t="s">
        <v>403</v>
      </c>
      <c r="B23" s="5" t="s">
        <v>404</v>
      </c>
      <c r="D23" s="92" t="s">
        <v>404</v>
      </c>
      <c r="F23" s="14" t="s">
        <v>39</v>
      </c>
      <c r="G23" s="15">
        <v>1000</v>
      </c>
      <c r="H23" s="16"/>
      <c r="I23" s="15"/>
      <c r="J23" s="15"/>
      <c r="K23" s="15"/>
      <c r="L23" s="15"/>
      <c r="M23" s="15" t="s">
        <v>20</v>
      </c>
      <c r="N23" s="15"/>
      <c r="O23" s="16"/>
      <c r="P23" s="17" t="s">
        <v>227</v>
      </c>
      <c r="Q23" s="18" t="s">
        <v>130</v>
      </c>
      <c r="R23" s="19" t="s">
        <v>501</v>
      </c>
      <c r="S23" s="19" t="s">
        <v>403</v>
      </c>
      <c r="T23" s="18" t="s">
        <v>444</v>
      </c>
      <c r="U23" s="9"/>
    </row>
    <row r="24" spans="1:21" x14ac:dyDescent="0.25">
      <c r="A24" s="7" t="s">
        <v>517</v>
      </c>
      <c r="B24" s="5" t="s">
        <v>405</v>
      </c>
      <c r="D24" s="92" t="s">
        <v>407</v>
      </c>
      <c r="F24" s="14" t="s">
        <v>39</v>
      </c>
      <c r="G24" s="15">
        <v>15</v>
      </c>
      <c r="H24" s="16"/>
      <c r="I24" s="15"/>
      <c r="J24" s="15"/>
      <c r="K24" s="15"/>
      <c r="L24" s="15"/>
      <c r="M24" s="15" t="s">
        <v>5</v>
      </c>
      <c r="N24" s="15"/>
      <c r="O24" s="16"/>
      <c r="P24" s="17" t="s">
        <v>227</v>
      </c>
      <c r="Q24" s="18" t="s">
        <v>130</v>
      </c>
      <c r="R24" s="19" t="s">
        <v>501</v>
      </c>
      <c r="S24" s="19" t="s">
        <v>408</v>
      </c>
      <c r="T24" s="18" t="s">
        <v>444</v>
      </c>
      <c r="U24" s="9"/>
    </row>
    <row r="25" spans="1:21" x14ac:dyDescent="0.25">
      <c r="A25" s="7" t="s">
        <v>169</v>
      </c>
      <c r="B25" s="5" t="s">
        <v>409</v>
      </c>
      <c r="D25" s="92" t="s">
        <v>389</v>
      </c>
      <c r="F25" s="14" t="s">
        <v>60</v>
      </c>
      <c r="G25" s="15"/>
      <c r="H25" s="16"/>
      <c r="I25" s="15" t="s">
        <v>87</v>
      </c>
      <c r="J25" s="15"/>
      <c r="K25" s="15"/>
      <c r="L25" s="15"/>
      <c r="M25" s="15" t="s">
        <v>5</v>
      </c>
      <c r="N25" s="15"/>
      <c r="O25" s="16"/>
      <c r="P25" s="17" t="s">
        <v>227</v>
      </c>
      <c r="Q25" s="18" t="s">
        <v>130</v>
      </c>
      <c r="R25" s="19" t="s">
        <v>501</v>
      </c>
      <c r="S25" s="19" t="s">
        <v>169</v>
      </c>
      <c r="T25" s="18" t="s">
        <v>60</v>
      </c>
      <c r="U25" s="9"/>
    </row>
    <row r="26" spans="1:21" x14ac:dyDescent="0.25">
      <c r="A26" s="10" t="s">
        <v>283</v>
      </c>
      <c r="B26" s="10" t="s">
        <v>143</v>
      </c>
      <c r="C26" s="10" t="s">
        <v>120</v>
      </c>
      <c r="D26" s="13" t="s">
        <v>123</v>
      </c>
      <c r="E26" s="10" t="s">
        <v>124</v>
      </c>
      <c r="F26" s="14" t="s">
        <v>129</v>
      </c>
      <c r="G26" s="15">
        <v>7</v>
      </c>
      <c r="H26" s="16"/>
      <c r="I26" s="15"/>
      <c r="J26" s="15"/>
      <c r="K26" s="15"/>
      <c r="L26" s="15"/>
      <c r="M26" s="15" t="s">
        <v>5</v>
      </c>
      <c r="N26" s="15"/>
      <c r="O26" s="16"/>
      <c r="P26" s="17" t="s">
        <v>227</v>
      </c>
      <c r="Q26" s="18" t="s">
        <v>130</v>
      </c>
      <c r="R26" s="19" t="s">
        <v>501</v>
      </c>
      <c r="S26" s="19" t="s">
        <v>283</v>
      </c>
      <c r="T26" s="18" t="s">
        <v>229</v>
      </c>
      <c r="U26" s="9"/>
    </row>
    <row r="27" spans="1:21" x14ac:dyDescent="0.25">
      <c r="A27" s="10" t="s">
        <v>284</v>
      </c>
      <c r="B27" s="10" t="s">
        <v>118</v>
      </c>
      <c r="C27" s="10" t="s">
        <v>119</v>
      </c>
      <c r="D27" s="11" t="s">
        <v>116</v>
      </c>
      <c r="F27" s="14" t="s">
        <v>39</v>
      </c>
      <c r="G27" s="15">
        <v>50</v>
      </c>
      <c r="H27" s="16"/>
      <c r="I27" s="15"/>
      <c r="J27" s="15"/>
      <c r="K27" s="15"/>
      <c r="L27" s="15"/>
      <c r="M27" s="15" t="s">
        <v>5</v>
      </c>
      <c r="N27" s="15"/>
      <c r="O27" s="16"/>
      <c r="P27" s="17" t="s">
        <v>227</v>
      </c>
      <c r="Q27" s="18" t="s">
        <v>130</v>
      </c>
      <c r="R27" s="19" t="s">
        <v>501</v>
      </c>
      <c r="S27" s="19" t="s">
        <v>284</v>
      </c>
      <c r="T27" s="18" t="s">
        <v>228</v>
      </c>
      <c r="U27" s="9"/>
    </row>
    <row r="28" spans="1:21" x14ac:dyDescent="0.25">
      <c r="A28" s="10" t="s">
        <v>285</v>
      </c>
      <c r="B28" s="10" t="s">
        <v>290</v>
      </c>
      <c r="C28" s="10" t="s">
        <v>120</v>
      </c>
      <c r="D28" s="13" t="s">
        <v>123</v>
      </c>
      <c r="E28" s="10" t="s">
        <v>124</v>
      </c>
      <c r="F28" s="14" t="s">
        <v>129</v>
      </c>
      <c r="G28" s="15">
        <v>7</v>
      </c>
      <c r="H28" s="16"/>
      <c r="I28" s="15"/>
      <c r="J28" s="15"/>
      <c r="K28" s="15"/>
      <c r="L28" s="15"/>
      <c r="M28" s="15" t="s">
        <v>20</v>
      </c>
      <c r="N28" s="15"/>
      <c r="O28" s="16"/>
      <c r="P28" s="17" t="s">
        <v>227</v>
      </c>
      <c r="Q28" s="18" t="s">
        <v>130</v>
      </c>
      <c r="R28" s="19" t="s">
        <v>501</v>
      </c>
      <c r="S28" s="19" t="s">
        <v>283</v>
      </c>
      <c r="T28" s="18" t="s">
        <v>229</v>
      </c>
      <c r="U28" s="9"/>
    </row>
    <row r="29" spans="1:21" x14ac:dyDescent="0.25">
      <c r="A29" s="10" t="s">
        <v>286</v>
      </c>
      <c r="B29" s="10" t="s">
        <v>291</v>
      </c>
      <c r="C29" s="10" t="s">
        <v>119</v>
      </c>
      <c r="D29" s="11" t="s">
        <v>116</v>
      </c>
      <c r="F29" s="14" t="s">
        <v>39</v>
      </c>
      <c r="G29" s="15">
        <v>50</v>
      </c>
      <c r="H29" s="16"/>
      <c r="I29" s="15"/>
      <c r="J29" s="15"/>
      <c r="K29" s="15"/>
      <c r="L29" s="15"/>
      <c r="M29" s="15" t="s">
        <v>20</v>
      </c>
      <c r="N29" s="15"/>
      <c r="O29" s="16"/>
      <c r="P29" s="17" t="s">
        <v>227</v>
      </c>
      <c r="Q29" s="18" t="s">
        <v>130</v>
      </c>
      <c r="R29" s="19" t="s">
        <v>501</v>
      </c>
      <c r="S29" s="19" t="s">
        <v>284</v>
      </c>
      <c r="T29" s="18" t="s">
        <v>228</v>
      </c>
      <c r="U29" s="9"/>
    </row>
    <row r="30" spans="1:21" x14ac:dyDescent="0.25">
      <c r="A30" s="10" t="s">
        <v>125</v>
      </c>
      <c r="B30" s="10" t="s">
        <v>288</v>
      </c>
      <c r="C30" s="10" t="s">
        <v>128</v>
      </c>
      <c r="D30" s="11" t="s">
        <v>117</v>
      </c>
      <c r="F30" s="14" t="s">
        <v>39</v>
      </c>
      <c r="G30" s="15">
        <v>256</v>
      </c>
      <c r="H30" s="16"/>
      <c r="I30" s="15"/>
      <c r="J30" s="15"/>
      <c r="K30" s="15"/>
      <c r="L30" s="15"/>
      <c r="M30" s="15" t="s">
        <v>5</v>
      </c>
      <c r="N30" s="15"/>
      <c r="O30" s="16"/>
      <c r="P30" s="17" t="s">
        <v>227</v>
      </c>
      <c r="Q30" s="18" t="s">
        <v>130</v>
      </c>
      <c r="R30" s="19" t="s">
        <v>501</v>
      </c>
      <c r="S30" s="19" t="s">
        <v>125</v>
      </c>
      <c r="T30" s="18" t="s">
        <v>228</v>
      </c>
      <c r="U30" s="9"/>
    </row>
  </sheetData>
  <mergeCells count="2">
    <mergeCell ref="F8:O8"/>
    <mergeCell ref="P8:T8"/>
  </mergeCells>
  <dataValidations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3">
    <tabColor rgb="FFE26B0A"/>
  </sheetPr>
  <dimension ref="A1:U12"/>
  <sheetViews>
    <sheetView topLeftCell="B1" workbookViewId="0">
      <selection activeCell="B10" sqref="B10"/>
    </sheetView>
  </sheetViews>
  <sheetFormatPr baseColWidth="10" defaultColWidth="9.21875" defaultRowHeight="13.2" x14ac:dyDescent="0.25"/>
  <cols>
    <col min="1" max="1" width="25" style="10" customWidth="1"/>
    <col min="2" max="2" width="26.5546875" style="10" customWidth="1"/>
    <col min="3" max="3" width="11.5546875" style="10" customWidth="1"/>
    <col min="4" max="4" width="18.21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0.5546875" style="10" customWidth="1"/>
    <col min="16" max="16" width="10.44140625" style="10" customWidth="1"/>
    <col min="17" max="17" width="12" style="10" bestFit="1" customWidth="1"/>
    <col min="18" max="18" width="13.5546875" style="10" bestFit="1" customWidth="1"/>
    <col min="19" max="19" width="20.5546875" style="10" bestFit="1" customWidth="1"/>
    <col min="20" max="20" width="14.21875" style="10" customWidth="1"/>
    <col min="21" max="16384" width="9.21875" style="10"/>
  </cols>
  <sheetData>
    <row r="1" spans="1:21" x14ac:dyDescent="0.25">
      <c r="A1" s="82" t="s">
        <v>28</v>
      </c>
      <c r="B1" s="5" t="s">
        <v>395</v>
      </c>
      <c r="C1" s="34" t="s">
        <v>312</v>
      </c>
      <c r="D1" s="23"/>
      <c r="E1" s="23"/>
      <c r="F1" s="23"/>
      <c r="G1" s="23"/>
      <c r="H1" s="23"/>
      <c r="I1" s="23"/>
      <c r="J1" s="23"/>
      <c r="K1" s="23"/>
      <c r="L1" s="23"/>
      <c r="M1" s="23"/>
      <c r="N1" s="23"/>
      <c r="O1" s="23"/>
      <c r="P1" s="23"/>
      <c r="Q1" s="23"/>
      <c r="R1" s="23"/>
      <c r="S1" s="23"/>
      <c r="T1" s="23"/>
    </row>
    <row r="2" spans="1:21" x14ac:dyDescent="0.25">
      <c r="A2" s="82" t="s">
        <v>3</v>
      </c>
      <c r="B2" s="25" t="s">
        <v>430</v>
      </c>
      <c r="C2" s="34" t="s">
        <v>313</v>
      </c>
      <c r="D2" s="23"/>
      <c r="E2" s="23"/>
      <c r="F2" s="23"/>
      <c r="G2" s="23"/>
      <c r="H2" s="23"/>
      <c r="I2" s="23"/>
      <c r="J2" s="23"/>
      <c r="K2" s="23"/>
      <c r="L2" s="23"/>
      <c r="M2" s="23"/>
      <c r="N2" s="23"/>
      <c r="O2" s="23"/>
      <c r="P2" s="23"/>
      <c r="Q2" s="23"/>
      <c r="R2" s="23"/>
      <c r="S2" s="23"/>
      <c r="T2" s="23"/>
    </row>
    <row r="3" spans="1:21" s="1" customFormat="1" x14ac:dyDescent="0.25">
      <c r="A3" s="83" t="s">
        <v>29</v>
      </c>
      <c r="B3" s="25"/>
      <c r="C3" s="35" t="s">
        <v>335</v>
      </c>
      <c r="D3" s="24"/>
      <c r="E3" s="23"/>
      <c r="F3" s="23"/>
      <c r="G3" s="23"/>
      <c r="H3" s="23"/>
      <c r="I3" s="23"/>
      <c r="J3" s="23"/>
      <c r="K3" s="23"/>
      <c r="L3" s="23"/>
      <c r="M3" s="23"/>
      <c r="N3" s="23"/>
      <c r="O3" s="23"/>
      <c r="P3" s="23"/>
      <c r="Q3" s="23"/>
      <c r="R3" s="23"/>
      <c r="S3" s="23"/>
      <c r="T3" s="23"/>
    </row>
    <row r="4" spans="1:21" s="1" customFormat="1" x14ac:dyDescent="0.25">
      <c r="A4" s="83" t="s">
        <v>305</v>
      </c>
      <c r="B4" s="5" t="s">
        <v>306</v>
      </c>
      <c r="C4" s="35" t="s">
        <v>311</v>
      </c>
      <c r="D4" s="24"/>
      <c r="E4" s="23"/>
      <c r="F4" s="23"/>
      <c r="G4" s="23"/>
      <c r="H4" s="23"/>
      <c r="I4" s="23"/>
      <c r="J4" s="23"/>
      <c r="K4" s="23"/>
      <c r="L4" s="23"/>
      <c r="M4" s="23"/>
      <c r="N4" s="23"/>
      <c r="O4" s="23"/>
      <c r="P4" s="23"/>
      <c r="Q4" s="23"/>
      <c r="R4" s="23"/>
      <c r="S4" s="23"/>
      <c r="T4" s="23"/>
    </row>
    <row r="5" spans="1:21" s="1" customFormat="1" x14ac:dyDescent="0.25">
      <c r="A5" s="83" t="s">
        <v>333</v>
      </c>
      <c r="B5" s="7" t="s">
        <v>20</v>
      </c>
      <c r="C5" s="35" t="s">
        <v>334</v>
      </c>
      <c r="D5" s="24"/>
      <c r="E5" s="23"/>
      <c r="F5" s="23"/>
      <c r="G5" s="23"/>
      <c r="H5" s="23"/>
      <c r="I5" s="23"/>
      <c r="J5" s="23"/>
      <c r="K5" s="23"/>
      <c r="L5" s="23"/>
      <c r="M5" s="23"/>
      <c r="N5" s="23"/>
      <c r="O5" s="23"/>
      <c r="P5" s="23"/>
      <c r="Q5" s="23"/>
      <c r="R5" s="23"/>
      <c r="S5" s="23"/>
      <c r="T5" s="23"/>
    </row>
    <row r="6" spans="1:21" s="1" customFormat="1" x14ac:dyDescent="0.25">
      <c r="A6" s="83"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ht="13.5" customHeight="1" x14ac:dyDescent="0.25">
      <c r="A8" s="84"/>
      <c r="B8" s="84"/>
      <c r="C8" s="84"/>
      <c r="D8" s="85"/>
      <c r="E8" s="85"/>
      <c r="F8" s="134" t="s">
        <v>8</v>
      </c>
      <c r="G8" s="135"/>
      <c r="H8" s="135"/>
      <c r="I8" s="135"/>
      <c r="J8" s="135"/>
      <c r="K8" s="135"/>
      <c r="L8" s="135"/>
      <c r="M8" s="135"/>
      <c r="N8" s="135"/>
      <c r="O8" s="136"/>
      <c r="P8" s="137" t="s">
        <v>9</v>
      </c>
      <c r="Q8" s="138"/>
      <c r="R8" s="138"/>
      <c r="S8" s="138"/>
      <c r="T8" s="139"/>
    </row>
    <row r="9" spans="1:21" s="4" customFormat="1" ht="26.25" customHeight="1" x14ac:dyDescent="0.25">
      <c r="A9" s="86" t="s">
        <v>4</v>
      </c>
      <c r="B9" s="86" t="s">
        <v>26</v>
      </c>
      <c r="C9" s="86" t="s">
        <v>7</v>
      </c>
      <c r="D9" s="86" t="s">
        <v>10</v>
      </c>
      <c r="E9" s="86" t="s">
        <v>13</v>
      </c>
      <c r="F9" s="87" t="s">
        <v>11</v>
      </c>
      <c r="G9" s="88" t="s">
        <v>6</v>
      </c>
      <c r="H9" s="88" t="s">
        <v>12</v>
      </c>
      <c r="I9" s="88" t="s">
        <v>87</v>
      </c>
      <c r="J9" s="88" t="s">
        <v>308</v>
      </c>
      <c r="K9" s="88" t="s">
        <v>309</v>
      </c>
      <c r="L9" s="88" t="s">
        <v>14</v>
      </c>
      <c r="M9" s="88" t="s">
        <v>287</v>
      </c>
      <c r="N9" s="88" t="s">
        <v>385</v>
      </c>
      <c r="O9" s="89" t="s">
        <v>15</v>
      </c>
      <c r="P9" s="90" t="s">
        <v>21</v>
      </c>
      <c r="Q9" s="88" t="s">
        <v>22</v>
      </c>
      <c r="R9" s="88" t="s">
        <v>23</v>
      </c>
      <c r="S9" s="88" t="s">
        <v>24</v>
      </c>
      <c r="T9" s="89" t="s">
        <v>16</v>
      </c>
    </row>
    <row r="10" spans="1:21" x14ac:dyDescent="0.25">
      <c r="A10" s="80" t="s">
        <v>397</v>
      </c>
      <c r="B10" s="80" t="s">
        <v>397</v>
      </c>
      <c r="D10" s="91" t="s">
        <v>398</v>
      </c>
      <c r="F10" s="14" t="s">
        <v>39</v>
      </c>
      <c r="G10" s="15">
        <v>100</v>
      </c>
      <c r="H10" s="16"/>
      <c r="I10" s="15" t="s">
        <v>87</v>
      </c>
      <c r="J10" s="15"/>
      <c r="K10" s="15"/>
      <c r="L10" s="15"/>
      <c r="M10" s="15" t="s">
        <v>5</v>
      </c>
      <c r="N10" s="15"/>
      <c r="O10" s="16"/>
      <c r="P10" s="17"/>
      <c r="Q10" s="18"/>
      <c r="R10" s="19"/>
      <c r="S10" s="19"/>
      <c r="T10" s="18"/>
      <c r="U10" s="9"/>
    </row>
    <row r="11" spans="1:21" x14ac:dyDescent="0.25">
      <c r="A11" s="80" t="s">
        <v>427</v>
      </c>
      <c r="B11" s="80" t="s">
        <v>426</v>
      </c>
      <c r="D11" s="11">
        <v>1</v>
      </c>
      <c r="F11" s="14" t="s">
        <v>60</v>
      </c>
      <c r="G11" s="15"/>
      <c r="H11" s="16"/>
      <c r="I11" s="15"/>
      <c r="J11" s="15"/>
      <c r="K11" s="15"/>
      <c r="L11" s="15"/>
      <c r="M11" s="15" t="s">
        <v>5</v>
      </c>
      <c r="N11" s="15"/>
      <c r="O11" s="16"/>
      <c r="P11" s="17"/>
      <c r="Q11" s="18"/>
      <c r="R11" s="19"/>
      <c r="S11" s="19"/>
      <c r="T11" s="18"/>
      <c r="U11" s="9"/>
    </row>
    <row r="12" spans="1:21" x14ac:dyDescent="0.25">
      <c r="A12" s="10" t="s">
        <v>428</v>
      </c>
      <c r="B12" s="10" t="s">
        <v>428</v>
      </c>
      <c r="D12" s="11">
        <v>1</v>
      </c>
      <c r="F12" s="14" t="s">
        <v>61</v>
      </c>
      <c r="G12" s="15"/>
      <c r="H12" s="16"/>
      <c r="I12" s="15"/>
      <c r="J12" s="15"/>
      <c r="K12" s="15"/>
      <c r="L12" s="15"/>
      <c r="M12" s="15" t="s">
        <v>5</v>
      </c>
      <c r="N12" s="15"/>
      <c r="O12" s="16"/>
      <c r="P12" s="17"/>
      <c r="Q12" s="18"/>
      <c r="R12" s="19"/>
      <c r="S12" s="19"/>
      <c r="T12" s="18"/>
      <c r="U12" s="9"/>
    </row>
  </sheetData>
  <dataConsolidate/>
  <mergeCells count="2">
    <mergeCell ref="F8:O8"/>
    <mergeCell ref="P8:T8"/>
  </mergeCells>
  <dataValidations count="2">
    <dataValidation type="list" allowBlank="1" showInputMessage="1" showErrorMessage="1" promptTitle="Table Type" prompt="PK Type" sqref="B4">
      <formula1>"CLUSTERED,NONCLUSTERD"</formula1>
    </dataValidation>
    <dataValidation type="list" allowBlank="1" showInputMessage="1" showErrorMessage="1" sqref="B5">
      <formula1>"Y, N"</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4">
    <tabColor rgb="FFE26B0A"/>
  </sheetPr>
  <dimension ref="A1:U13"/>
  <sheetViews>
    <sheetView workbookViewId="0">
      <selection activeCell="A7" sqref="A7"/>
    </sheetView>
  </sheetViews>
  <sheetFormatPr baseColWidth="10" defaultColWidth="9.21875" defaultRowHeight="13.2" x14ac:dyDescent="0.25"/>
  <cols>
    <col min="1" max="1" width="25" style="10" customWidth="1"/>
    <col min="2" max="2" width="26.5546875" style="10" customWidth="1"/>
    <col min="3" max="3" width="11.5546875" style="10" customWidth="1"/>
    <col min="4" max="4" width="18.21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0.5546875" style="10" customWidth="1"/>
    <col min="16" max="16" width="10.44140625" style="10" customWidth="1"/>
    <col min="17" max="17" width="12" style="10" bestFit="1" customWidth="1"/>
    <col min="18" max="18" width="13.5546875" style="10" bestFit="1" customWidth="1"/>
    <col min="19" max="19" width="20.5546875" style="10" bestFit="1" customWidth="1"/>
    <col min="20" max="20" width="14.21875" style="10" customWidth="1"/>
    <col min="21" max="16384" width="9.21875" style="10"/>
  </cols>
  <sheetData>
    <row r="1" spans="1:21" x14ac:dyDescent="0.25">
      <c r="A1" s="82" t="s">
        <v>28</v>
      </c>
      <c r="B1" s="5" t="s">
        <v>395</v>
      </c>
      <c r="C1" s="34" t="s">
        <v>312</v>
      </c>
      <c r="D1" s="23"/>
      <c r="E1" s="23"/>
      <c r="F1" s="23"/>
      <c r="G1" s="23"/>
      <c r="H1" s="23"/>
      <c r="I1" s="23"/>
      <c r="J1" s="23"/>
      <c r="K1" s="23"/>
      <c r="L1" s="23"/>
      <c r="M1" s="23"/>
      <c r="N1" s="23"/>
      <c r="O1" s="23"/>
      <c r="P1" s="23"/>
      <c r="Q1" s="23"/>
      <c r="R1" s="23"/>
      <c r="S1" s="23"/>
      <c r="T1" s="23"/>
    </row>
    <row r="2" spans="1:21" x14ac:dyDescent="0.25">
      <c r="A2" s="82" t="s">
        <v>3</v>
      </c>
      <c r="B2" s="25" t="s">
        <v>429</v>
      </c>
      <c r="C2" s="34" t="s">
        <v>313</v>
      </c>
      <c r="D2" s="23"/>
      <c r="E2" s="23"/>
      <c r="F2" s="23"/>
      <c r="G2" s="23"/>
      <c r="H2" s="23"/>
      <c r="I2" s="23"/>
      <c r="J2" s="23"/>
      <c r="K2" s="23"/>
      <c r="L2" s="23"/>
      <c r="M2" s="23"/>
      <c r="N2" s="23"/>
      <c r="O2" s="23"/>
      <c r="P2" s="23"/>
      <c r="Q2" s="23"/>
      <c r="R2" s="23"/>
      <c r="S2" s="23"/>
      <c r="T2" s="23"/>
    </row>
    <row r="3" spans="1:21" s="1" customFormat="1" x14ac:dyDescent="0.25">
      <c r="A3" s="83" t="s">
        <v>29</v>
      </c>
      <c r="B3" s="25"/>
      <c r="C3" s="35" t="s">
        <v>335</v>
      </c>
      <c r="D3" s="24"/>
      <c r="E3" s="23"/>
      <c r="F3" s="23"/>
      <c r="G3" s="23"/>
      <c r="H3" s="23"/>
      <c r="I3" s="23"/>
      <c r="J3" s="23"/>
      <c r="K3" s="23"/>
      <c r="L3" s="23"/>
      <c r="M3" s="23"/>
      <c r="N3" s="23"/>
      <c r="O3" s="23"/>
      <c r="P3" s="23"/>
      <c r="Q3" s="23"/>
      <c r="R3" s="23"/>
      <c r="S3" s="23"/>
      <c r="T3" s="23"/>
    </row>
    <row r="4" spans="1:21" s="1" customFormat="1" x14ac:dyDescent="0.25">
      <c r="A4" s="83" t="s">
        <v>305</v>
      </c>
      <c r="B4" s="5" t="s">
        <v>306</v>
      </c>
      <c r="C4" s="35" t="s">
        <v>311</v>
      </c>
      <c r="D4" s="24"/>
      <c r="E4" s="23"/>
      <c r="F4" s="23"/>
      <c r="G4" s="23"/>
      <c r="H4" s="23"/>
      <c r="I4" s="23"/>
      <c r="J4" s="23"/>
      <c r="K4" s="23"/>
      <c r="L4" s="23"/>
      <c r="M4" s="23"/>
      <c r="N4" s="23"/>
      <c r="O4" s="23"/>
      <c r="P4" s="23"/>
      <c r="Q4" s="23"/>
      <c r="R4" s="23"/>
      <c r="S4" s="23"/>
      <c r="T4" s="23"/>
    </row>
    <row r="5" spans="1:21" s="1" customFormat="1" x14ac:dyDescent="0.25">
      <c r="A5" s="83" t="s">
        <v>333</v>
      </c>
      <c r="B5" s="7" t="s">
        <v>20</v>
      </c>
      <c r="C5" s="35" t="s">
        <v>334</v>
      </c>
      <c r="D5" s="24"/>
      <c r="E5" s="23"/>
      <c r="F5" s="23"/>
      <c r="G5" s="23"/>
      <c r="H5" s="23"/>
      <c r="I5" s="23"/>
      <c r="J5" s="23"/>
      <c r="K5" s="23"/>
      <c r="L5" s="23"/>
      <c r="M5" s="23"/>
      <c r="N5" s="23"/>
      <c r="O5" s="23"/>
      <c r="P5" s="23"/>
      <c r="Q5" s="23"/>
      <c r="R5" s="23"/>
      <c r="S5" s="23"/>
      <c r="T5" s="23"/>
    </row>
    <row r="6" spans="1:21" s="1" customFormat="1" x14ac:dyDescent="0.25">
      <c r="A6" s="83"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ht="13.5" customHeight="1" x14ac:dyDescent="0.25">
      <c r="A8" s="84"/>
      <c r="B8" s="84"/>
      <c r="C8" s="84"/>
      <c r="D8" s="85"/>
      <c r="E8" s="85"/>
      <c r="F8" s="134" t="s">
        <v>8</v>
      </c>
      <c r="G8" s="135"/>
      <c r="H8" s="135"/>
      <c r="I8" s="135"/>
      <c r="J8" s="135"/>
      <c r="K8" s="135"/>
      <c r="L8" s="135"/>
      <c r="M8" s="135"/>
      <c r="N8" s="135"/>
      <c r="O8" s="136"/>
      <c r="P8" s="137" t="s">
        <v>9</v>
      </c>
      <c r="Q8" s="138"/>
      <c r="R8" s="138"/>
      <c r="S8" s="138"/>
      <c r="T8" s="139"/>
    </row>
    <row r="9" spans="1:21" s="4" customFormat="1" ht="26.25" customHeight="1" x14ac:dyDescent="0.25">
      <c r="A9" s="86" t="s">
        <v>4</v>
      </c>
      <c r="B9" s="86" t="s">
        <v>26</v>
      </c>
      <c r="C9" s="86" t="s">
        <v>7</v>
      </c>
      <c r="D9" s="86" t="s">
        <v>10</v>
      </c>
      <c r="E9" s="86" t="s">
        <v>13</v>
      </c>
      <c r="F9" s="87" t="s">
        <v>11</v>
      </c>
      <c r="G9" s="88" t="s">
        <v>6</v>
      </c>
      <c r="H9" s="88" t="s">
        <v>12</v>
      </c>
      <c r="I9" s="88" t="s">
        <v>87</v>
      </c>
      <c r="J9" s="88" t="s">
        <v>308</v>
      </c>
      <c r="K9" s="88" t="s">
        <v>309</v>
      </c>
      <c r="L9" s="88" t="s">
        <v>14</v>
      </c>
      <c r="M9" s="88" t="s">
        <v>287</v>
      </c>
      <c r="N9" s="88" t="s">
        <v>385</v>
      </c>
      <c r="O9" s="89" t="s">
        <v>15</v>
      </c>
      <c r="P9" s="90" t="s">
        <v>21</v>
      </c>
      <c r="Q9" s="88" t="s">
        <v>22</v>
      </c>
      <c r="R9" s="88" t="s">
        <v>23</v>
      </c>
      <c r="S9" s="88" t="s">
        <v>24</v>
      </c>
      <c r="T9" s="89" t="s">
        <v>16</v>
      </c>
    </row>
    <row r="10" spans="1:21" x14ac:dyDescent="0.25">
      <c r="A10" s="80" t="s">
        <v>169</v>
      </c>
      <c r="B10" s="5" t="s">
        <v>409</v>
      </c>
      <c r="D10" s="13" t="s">
        <v>389</v>
      </c>
      <c r="F10" s="14" t="s">
        <v>60</v>
      </c>
      <c r="G10" s="15"/>
      <c r="H10" s="16"/>
      <c r="I10" s="15" t="s">
        <v>87</v>
      </c>
      <c r="J10" s="15"/>
      <c r="K10" s="15"/>
      <c r="L10" s="15"/>
      <c r="M10" s="15" t="s">
        <v>5</v>
      </c>
      <c r="N10" s="15"/>
      <c r="O10" s="16"/>
      <c r="P10" s="17"/>
      <c r="Q10" s="18"/>
      <c r="R10" s="19"/>
      <c r="S10" s="19"/>
      <c r="T10" s="18"/>
      <c r="U10" s="9"/>
    </row>
    <row r="11" spans="1:21" x14ac:dyDescent="0.25">
      <c r="A11" s="80" t="s">
        <v>46</v>
      </c>
      <c r="B11" s="5" t="s">
        <v>46</v>
      </c>
      <c r="D11" s="13" t="s">
        <v>389</v>
      </c>
      <c r="F11" s="14" t="s">
        <v>60</v>
      </c>
      <c r="G11" s="15"/>
      <c r="H11" s="16"/>
      <c r="I11" s="15" t="s">
        <v>87</v>
      </c>
      <c r="J11" s="15"/>
      <c r="K11" s="15"/>
      <c r="L11" s="15"/>
      <c r="M11" s="15" t="s">
        <v>5</v>
      </c>
      <c r="N11" s="15"/>
      <c r="O11" s="16"/>
      <c r="P11" s="17"/>
      <c r="Q11" s="18"/>
      <c r="R11" s="19"/>
      <c r="S11" s="19"/>
      <c r="T11" s="18"/>
      <c r="U11" s="9"/>
    </row>
    <row r="12" spans="1:21" x14ac:dyDescent="0.25">
      <c r="A12" s="80" t="s">
        <v>397</v>
      </c>
      <c r="B12" s="80" t="s">
        <v>397</v>
      </c>
      <c r="D12" s="91" t="s">
        <v>398</v>
      </c>
      <c r="F12" s="14" t="s">
        <v>39</v>
      </c>
      <c r="G12" s="15">
        <v>100</v>
      </c>
      <c r="H12" s="16"/>
      <c r="I12" s="15" t="s">
        <v>87</v>
      </c>
      <c r="J12" s="15"/>
      <c r="K12" s="15"/>
      <c r="L12" s="15"/>
      <c r="M12" s="15" t="s">
        <v>5</v>
      </c>
      <c r="N12" s="15"/>
      <c r="O12" s="16"/>
      <c r="P12" s="17"/>
      <c r="Q12" s="18"/>
      <c r="R12" s="19"/>
      <c r="S12" s="19"/>
      <c r="T12" s="18"/>
      <c r="U12" s="9"/>
    </row>
    <row r="13" spans="1:21" x14ac:dyDescent="0.25">
      <c r="A13" s="80" t="s">
        <v>426</v>
      </c>
      <c r="B13" s="80" t="s">
        <v>426</v>
      </c>
      <c r="D13" s="11">
        <v>1</v>
      </c>
      <c r="F13" s="14" t="s">
        <v>60</v>
      </c>
      <c r="G13" s="15"/>
      <c r="H13" s="16"/>
      <c r="I13" s="15"/>
      <c r="J13" s="15"/>
      <c r="K13" s="15"/>
      <c r="L13" s="15"/>
      <c r="M13" s="15" t="s">
        <v>5</v>
      </c>
      <c r="N13" s="15"/>
      <c r="O13" s="16"/>
      <c r="P13" s="17"/>
      <c r="Q13" s="18"/>
      <c r="R13" s="19"/>
      <c r="S13" s="19"/>
      <c r="T13" s="18"/>
      <c r="U13" s="9"/>
    </row>
  </sheetData>
  <dataConsolidate/>
  <mergeCells count="2">
    <mergeCell ref="F8:O8"/>
    <mergeCell ref="P8:T8"/>
  </mergeCells>
  <dataValidations disablePrompts="1"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Schemas!$A$10:$A$39</xm:f>
          </x14:formula1>
          <xm:sqref>B1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4">
    <tabColor rgb="FFC0504D"/>
  </sheetPr>
  <dimension ref="A1:U23"/>
  <sheetViews>
    <sheetView workbookViewId="0">
      <selection activeCell="I11" sqref="I11:L11"/>
    </sheetView>
  </sheetViews>
  <sheetFormatPr baseColWidth="10" defaultColWidth="9.21875" defaultRowHeight="13.2" x14ac:dyDescent="0.25"/>
  <cols>
    <col min="1" max="1" width="25" style="10" customWidth="1"/>
    <col min="2" max="2" width="26.5546875" style="10" customWidth="1"/>
    <col min="3" max="3" width="11.5546875" style="10" customWidth="1"/>
    <col min="4" max="4" width="17.5546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0.5546875" style="10" customWidth="1"/>
    <col min="16" max="16" width="10.44140625" style="10" customWidth="1"/>
    <col min="17" max="17" width="12" style="10" bestFit="1" customWidth="1"/>
    <col min="18" max="18" width="13.5546875" style="10" bestFit="1" customWidth="1"/>
    <col min="19" max="19" width="20.5546875" style="10" bestFit="1" customWidth="1"/>
    <col min="20" max="20" width="10.21875" style="10" customWidth="1"/>
    <col min="21" max="16384" width="9.21875" style="10"/>
  </cols>
  <sheetData>
    <row r="1" spans="1:21" x14ac:dyDescent="0.25">
      <c r="A1" s="43" t="s">
        <v>28</v>
      </c>
      <c r="B1" s="5" t="s">
        <v>142</v>
      </c>
      <c r="C1" s="34" t="s">
        <v>312</v>
      </c>
      <c r="D1" s="23"/>
      <c r="E1" s="23"/>
      <c r="F1" s="23"/>
      <c r="G1" s="23"/>
      <c r="H1" s="23"/>
      <c r="I1" s="23"/>
      <c r="J1" s="23"/>
      <c r="K1" s="23"/>
      <c r="L1" s="23"/>
      <c r="M1" s="23"/>
      <c r="N1" s="23"/>
      <c r="O1" s="23"/>
      <c r="P1" s="23"/>
      <c r="Q1" s="23"/>
      <c r="R1" s="23"/>
      <c r="S1" s="23"/>
      <c r="T1" s="23"/>
    </row>
    <row r="2" spans="1:21" x14ac:dyDescent="0.25">
      <c r="A2" s="43" t="s">
        <v>3</v>
      </c>
      <c r="B2" s="25" t="s">
        <v>64</v>
      </c>
      <c r="C2" s="34" t="s">
        <v>313</v>
      </c>
      <c r="D2" s="23"/>
      <c r="E2" s="23"/>
      <c r="F2" s="23"/>
      <c r="G2" s="23"/>
      <c r="H2" s="23"/>
      <c r="I2" s="23"/>
      <c r="J2" s="23"/>
      <c r="K2" s="23"/>
      <c r="L2" s="23"/>
      <c r="M2" s="23"/>
      <c r="N2" s="23"/>
      <c r="O2" s="23"/>
      <c r="P2" s="23"/>
      <c r="Q2" s="23"/>
      <c r="R2" s="23"/>
      <c r="S2" s="23"/>
      <c r="T2" s="23"/>
    </row>
    <row r="3" spans="1:21" s="1" customFormat="1" x14ac:dyDescent="0.25">
      <c r="A3" s="44" t="s">
        <v>29</v>
      </c>
      <c r="B3" s="25" t="s">
        <v>370</v>
      </c>
      <c r="C3" s="35" t="s">
        <v>335</v>
      </c>
      <c r="D3" s="24"/>
      <c r="E3" s="23"/>
      <c r="F3" s="23"/>
      <c r="G3" s="23"/>
      <c r="H3" s="23"/>
      <c r="I3" s="23"/>
      <c r="J3" s="23"/>
      <c r="K3" s="23"/>
      <c r="L3" s="23"/>
      <c r="M3" s="23"/>
      <c r="N3" s="23"/>
      <c r="O3" s="23"/>
      <c r="P3" s="23"/>
      <c r="Q3" s="23"/>
      <c r="R3" s="23"/>
      <c r="S3" s="23"/>
      <c r="T3" s="23"/>
    </row>
    <row r="4" spans="1:21" s="1" customFormat="1" x14ac:dyDescent="0.25">
      <c r="A4" s="44" t="s">
        <v>305</v>
      </c>
      <c r="B4" s="5" t="s">
        <v>346</v>
      </c>
      <c r="C4" s="35" t="s">
        <v>311</v>
      </c>
      <c r="D4" s="24"/>
      <c r="E4" s="23"/>
      <c r="F4" s="23"/>
      <c r="G4" s="23"/>
      <c r="H4" s="23"/>
      <c r="I4" s="23"/>
      <c r="J4" s="23"/>
      <c r="K4" s="23"/>
      <c r="L4" s="23"/>
      <c r="M4" s="23"/>
      <c r="N4" s="23"/>
      <c r="O4" s="23"/>
      <c r="P4" s="23"/>
      <c r="Q4" s="23"/>
      <c r="R4" s="23"/>
      <c r="S4" s="23"/>
      <c r="T4" s="23"/>
    </row>
    <row r="5" spans="1:21" s="1" customFormat="1" x14ac:dyDescent="0.25">
      <c r="A5" s="44" t="s">
        <v>333</v>
      </c>
      <c r="B5" s="7" t="s">
        <v>5</v>
      </c>
      <c r="C5" s="35" t="s">
        <v>334</v>
      </c>
      <c r="D5" s="24"/>
      <c r="E5" s="23"/>
      <c r="F5" s="23"/>
      <c r="G5" s="23"/>
      <c r="H5" s="23"/>
      <c r="I5" s="23"/>
      <c r="J5" s="23"/>
      <c r="K5" s="23"/>
      <c r="L5" s="23"/>
      <c r="M5" s="23"/>
      <c r="N5" s="23"/>
      <c r="O5" s="23"/>
      <c r="P5" s="23"/>
      <c r="Q5" s="23"/>
      <c r="R5" s="23"/>
      <c r="S5" s="23"/>
      <c r="T5" s="23"/>
    </row>
    <row r="6" spans="1:21" s="1" customFormat="1" x14ac:dyDescent="0.25">
      <c r="A6" s="44"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ht="13.5" customHeight="1" x14ac:dyDescent="0.25">
      <c r="A8" s="45"/>
      <c r="B8" s="45"/>
      <c r="C8" s="45"/>
      <c r="D8" s="46"/>
      <c r="E8" s="46"/>
      <c r="F8" s="140" t="s">
        <v>8</v>
      </c>
      <c r="G8" s="141"/>
      <c r="H8" s="141"/>
      <c r="I8" s="141"/>
      <c r="J8" s="141"/>
      <c r="K8" s="141"/>
      <c r="L8" s="141"/>
      <c r="M8" s="141"/>
      <c r="N8" s="141"/>
      <c r="O8" s="142"/>
      <c r="P8" s="143" t="s">
        <v>9</v>
      </c>
      <c r="Q8" s="144"/>
      <c r="R8" s="144"/>
      <c r="S8" s="144"/>
      <c r="T8" s="145"/>
    </row>
    <row r="9" spans="1:21" s="4" customFormat="1" ht="26.25" customHeight="1" x14ac:dyDescent="0.25">
      <c r="A9" s="60" t="s">
        <v>4</v>
      </c>
      <c r="B9" s="60" t="s">
        <v>26</v>
      </c>
      <c r="C9" s="60" t="s">
        <v>7</v>
      </c>
      <c r="D9" s="60" t="s">
        <v>10</v>
      </c>
      <c r="E9" s="60" t="s">
        <v>13</v>
      </c>
      <c r="F9" s="47" t="s">
        <v>11</v>
      </c>
      <c r="G9" s="48" t="s">
        <v>6</v>
      </c>
      <c r="H9" s="48" t="s">
        <v>12</v>
      </c>
      <c r="I9" s="48" t="s">
        <v>87</v>
      </c>
      <c r="J9" s="48" t="s">
        <v>308</v>
      </c>
      <c r="K9" s="48" t="s">
        <v>309</v>
      </c>
      <c r="L9" s="48" t="s">
        <v>14</v>
      </c>
      <c r="M9" s="48" t="s">
        <v>287</v>
      </c>
      <c r="N9" s="48" t="s">
        <v>385</v>
      </c>
      <c r="O9" s="49" t="s">
        <v>15</v>
      </c>
      <c r="P9" s="50" t="s">
        <v>21</v>
      </c>
      <c r="Q9" s="48" t="s">
        <v>22</v>
      </c>
      <c r="R9" s="48" t="s">
        <v>23</v>
      </c>
      <c r="S9" s="48" t="s">
        <v>24</v>
      </c>
      <c r="T9" s="49" t="s">
        <v>16</v>
      </c>
    </row>
    <row r="10" spans="1:21" x14ac:dyDescent="0.25">
      <c r="A10" s="10" t="s">
        <v>46</v>
      </c>
      <c r="B10" s="10" t="s">
        <v>152</v>
      </c>
      <c r="D10" s="11">
        <v>1</v>
      </c>
      <c r="F10" s="14" t="s">
        <v>60</v>
      </c>
      <c r="G10" s="15"/>
      <c r="H10" s="16"/>
      <c r="I10" s="15" t="s">
        <v>41</v>
      </c>
      <c r="J10" s="15"/>
      <c r="K10" s="15"/>
      <c r="L10" s="15"/>
      <c r="M10" s="15" t="s">
        <v>5</v>
      </c>
      <c r="N10" s="15"/>
      <c r="O10" s="16"/>
      <c r="P10" s="17"/>
      <c r="Q10" s="18"/>
      <c r="R10" s="19"/>
      <c r="S10" s="19"/>
      <c r="T10" s="18"/>
      <c r="U10" s="9"/>
    </row>
    <row r="11" spans="1:21" x14ac:dyDescent="0.25">
      <c r="A11" s="10" t="s">
        <v>169</v>
      </c>
      <c r="B11" s="10" t="s">
        <v>177</v>
      </c>
      <c r="D11" s="11">
        <v>1</v>
      </c>
      <c r="F11" s="14" t="s">
        <v>60</v>
      </c>
      <c r="G11" s="15"/>
      <c r="H11" s="16"/>
      <c r="I11" s="15" t="s">
        <v>67</v>
      </c>
      <c r="J11" s="15"/>
      <c r="K11" s="15"/>
      <c r="L11" s="15" t="s">
        <v>225</v>
      </c>
      <c r="M11" s="15" t="s">
        <v>20</v>
      </c>
      <c r="N11" s="15"/>
      <c r="O11" s="16"/>
      <c r="P11" s="17"/>
      <c r="Q11" s="18"/>
      <c r="R11" s="19"/>
      <c r="S11" s="19"/>
      <c r="T11" s="18"/>
      <c r="U11" s="9"/>
    </row>
    <row r="12" spans="1:21" x14ac:dyDescent="0.25">
      <c r="A12" s="10" t="s">
        <v>9</v>
      </c>
      <c r="B12" s="10" t="s">
        <v>175</v>
      </c>
      <c r="D12" s="11" t="s">
        <v>176</v>
      </c>
      <c r="F12" s="14" t="s">
        <v>39</v>
      </c>
      <c r="G12" s="15">
        <v>5</v>
      </c>
      <c r="H12" s="16"/>
      <c r="I12" s="15"/>
      <c r="J12" s="15"/>
      <c r="K12" s="15"/>
      <c r="L12" s="15"/>
      <c r="M12" s="15" t="s">
        <v>20</v>
      </c>
      <c r="N12" s="15"/>
      <c r="O12" s="16"/>
      <c r="P12" s="17"/>
      <c r="Q12" s="18"/>
      <c r="R12" s="19"/>
      <c r="S12" s="19"/>
      <c r="T12" s="18"/>
      <c r="U12" s="9"/>
    </row>
    <row r="13" spans="1:21" ht="26.4" x14ac:dyDescent="0.25">
      <c r="A13" s="10" t="s">
        <v>64</v>
      </c>
      <c r="B13" s="10" t="s">
        <v>185</v>
      </c>
      <c r="D13" s="11" t="s">
        <v>186</v>
      </c>
      <c r="F13" s="14" t="s">
        <v>39</v>
      </c>
      <c r="G13" s="15">
        <v>128</v>
      </c>
      <c r="H13" s="16"/>
      <c r="I13" s="15"/>
      <c r="J13" s="15"/>
      <c r="K13" s="15"/>
      <c r="L13" s="15"/>
      <c r="M13" s="15" t="s">
        <v>20</v>
      </c>
      <c r="N13" s="15"/>
      <c r="O13" s="16"/>
      <c r="P13" s="17"/>
      <c r="Q13" s="18"/>
      <c r="R13" s="19"/>
      <c r="S13" s="19"/>
      <c r="T13" s="18"/>
      <c r="U13" s="9"/>
    </row>
    <row r="14" spans="1:21" x14ac:dyDescent="0.25">
      <c r="A14" s="10" t="s">
        <v>53</v>
      </c>
      <c r="B14" s="10" t="s">
        <v>298</v>
      </c>
      <c r="E14" s="10" t="s">
        <v>299</v>
      </c>
      <c r="F14" s="14" t="s">
        <v>60</v>
      </c>
      <c r="G14" s="15"/>
      <c r="H14" s="16"/>
      <c r="I14" s="15"/>
      <c r="J14" s="15"/>
      <c r="K14" s="15"/>
      <c r="L14" s="15"/>
      <c r="M14" s="15" t="s">
        <v>20</v>
      </c>
      <c r="N14" s="15"/>
      <c r="O14" s="16"/>
      <c r="P14" s="17"/>
      <c r="Q14" s="18"/>
      <c r="R14" s="19"/>
      <c r="S14" s="19"/>
      <c r="T14" s="18"/>
      <c r="U14" s="9"/>
    </row>
    <row r="15" spans="1:21" x14ac:dyDescent="0.25">
      <c r="A15" s="10" t="s">
        <v>65</v>
      </c>
      <c r="B15" s="10" t="s">
        <v>187</v>
      </c>
      <c r="D15" s="11" t="s">
        <v>111</v>
      </c>
      <c r="F15" s="14" t="s">
        <v>39</v>
      </c>
      <c r="G15" s="15">
        <v>128</v>
      </c>
      <c r="H15" s="16"/>
      <c r="I15" s="15"/>
      <c r="J15" s="15"/>
      <c r="K15" s="15"/>
      <c r="L15" s="15"/>
      <c r="M15" s="15" t="s">
        <v>20</v>
      </c>
      <c r="N15" s="15"/>
      <c r="O15" s="16"/>
      <c r="P15" s="17"/>
      <c r="Q15" s="18"/>
      <c r="R15" s="19"/>
      <c r="S15" s="19"/>
      <c r="T15" s="18"/>
      <c r="U15" s="9"/>
    </row>
    <row r="16" spans="1:21" x14ac:dyDescent="0.25">
      <c r="A16" s="10" t="s">
        <v>66</v>
      </c>
      <c r="B16" s="10" t="s">
        <v>188</v>
      </c>
      <c r="D16" s="11" t="s">
        <v>190</v>
      </c>
      <c r="F16" s="14" t="s">
        <v>39</v>
      </c>
      <c r="G16" s="15" t="s">
        <v>40</v>
      </c>
      <c r="H16" s="16"/>
      <c r="I16" s="15"/>
      <c r="J16" s="15"/>
      <c r="K16" s="15"/>
      <c r="L16" s="15"/>
      <c r="M16" s="15" t="s">
        <v>20</v>
      </c>
      <c r="N16" s="15"/>
      <c r="O16" s="16"/>
      <c r="P16" s="17"/>
      <c r="Q16" s="18"/>
      <c r="R16" s="19"/>
      <c r="S16" s="19"/>
      <c r="T16" s="18"/>
      <c r="U16" s="9"/>
    </row>
    <row r="17" spans="1:21" x14ac:dyDescent="0.25">
      <c r="A17" s="10" t="s">
        <v>7</v>
      </c>
      <c r="B17" s="10" t="s">
        <v>189</v>
      </c>
      <c r="F17" s="14" t="s">
        <v>39</v>
      </c>
      <c r="G17" s="15" t="s">
        <v>40</v>
      </c>
      <c r="H17" s="16"/>
      <c r="I17" s="15"/>
      <c r="J17" s="15"/>
      <c r="K17" s="15"/>
      <c r="L17" s="15"/>
      <c r="M17" s="15" t="s">
        <v>20</v>
      </c>
      <c r="N17" s="15"/>
      <c r="O17" s="16"/>
      <c r="P17" s="17"/>
      <c r="Q17" s="18"/>
      <c r="R17" s="19"/>
      <c r="S17" s="19"/>
      <c r="T17" s="18"/>
      <c r="U17" s="9"/>
    </row>
    <row r="18" spans="1:21" ht="39.6" x14ac:dyDescent="0.25">
      <c r="A18" s="10" t="s">
        <v>54</v>
      </c>
      <c r="B18" s="10" t="s">
        <v>173</v>
      </c>
      <c r="D18" s="11" t="s">
        <v>164</v>
      </c>
      <c r="F18" s="14" t="s">
        <v>39</v>
      </c>
      <c r="G18" s="15">
        <v>100</v>
      </c>
      <c r="H18" s="16"/>
      <c r="I18" s="15"/>
      <c r="J18" s="15"/>
      <c r="K18" s="15"/>
      <c r="L18" s="15"/>
      <c r="M18" s="15" t="s">
        <v>20</v>
      </c>
      <c r="N18" s="15"/>
      <c r="O18" s="16"/>
      <c r="P18" s="17"/>
      <c r="Q18" s="18"/>
      <c r="R18" s="19"/>
      <c r="S18" s="19"/>
      <c r="T18" s="18"/>
      <c r="U18" s="9"/>
    </row>
    <row r="19" spans="1:21" x14ac:dyDescent="0.25">
      <c r="A19" s="10" t="s">
        <v>55</v>
      </c>
      <c r="B19" s="10" t="s">
        <v>174</v>
      </c>
      <c r="D19" s="11" t="s">
        <v>163</v>
      </c>
      <c r="F19" s="14" t="s">
        <v>61</v>
      </c>
      <c r="G19" s="15"/>
      <c r="H19" s="16"/>
      <c r="I19" s="15"/>
      <c r="J19" s="15"/>
      <c r="K19" s="15"/>
      <c r="L19" s="15"/>
      <c r="M19" s="15" t="s">
        <v>20</v>
      </c>
      <c r="N19" s="15"/>
      <c r="O19" s="16"/>
      <c r="P19" s="17"/>
      <c r="Q19" s="18"/>
      <c r="R19" s="19"/>
      <c r="S19" s="19"/>
      <c r="T19" s="18"/>
      <c r="U19" s="9"/>
    </row>
    <row r="20" spans="1:21" ht="26.4" x14ac:dyDescent="0.25">
      <c r="A20" s="10" t="s">
        <v>56</v>
      </c>
      <c r="B20" s="10" t="s">
        <v>165</v>
      </c>
      <c r="D20" s="11" t="s">
        <v>116</v>
      </c>
      <c r="F20" s="14" t="s">
        <v>42</v>
      </c>
      <c r="G20" s="15"/>
      <c r="H20" s="16"/>
      <c r="I20" s="15"/>
      <c r="J20" s="15"/>
      <c r="K20" s="15"/>
      <c r="L20" s="15"/>
      <c r="M20" s="15" t="s">
        <v>20</v>
      </c>
      <c r="N20" s="15"/>
      <c r="O20" s="16" t="s">
        <v>62</v>
      </c>
      <c r="P20" s="17"/>
      <c r="Q20" s="18"/>
      <c r="R20" s="19"/>
      <c r="S20" s="19"/>
      <c r="T20" s="18"/>
      <c r="U20" s="9"/>
    </row>
    <row r="21" spans="1:21" ht="26.4" x14ac:dyDescent="0.25">
      <c r="A21" s="10" t="s">
        <v>57</v>
      </c>
      <c r="B21" s="10" t="s">
        <v>166</v>
      </c>
      <c r="D21" s="11" t="s">
        <v>158</v>
      </c>
      <c r="F21" s="14" t="s">
        <v>39</v>
      </c>
      <c r="G21" s="15">
        <v>128</v>
      </c>
      <c r="H21" s="16"/>
      <c r="I21" s="15"/>
      <c r="J21" s="15"/>
      <c r="K21" s="15"/>
      <c r="L21" s="15"/>
      <c r="M21" s="15" t="s">
        <v>20</v>
      </c>
      <c r="N21" s="15"/>
      <c r="O21" s="16" t="s">
        <v>63</v>
      </c>
      <c r="P21" s="17"/>
      <c r="Q21" s="18"/>
      <c r="R21" s="19"/>
      <c r="S21" s="19"/>
      <c r="T21" s="18"/>
      <c r="U21" s="9"/>
    </row>
    <row r="22" spans="1:21" x14ac:dyDescent="0.25">
      <c r="A22" s="10" t="s">
        <v>58</v>
      </c>
      <c r="B22" s="10" t="s">
        <v>179</v>
      </c>
      <c r="D22" s="11" t="s">
        <v>116</v>
      </c>
      <c r="E22" s="10" t="s">
        <v>168</v>
      </c>
      <c r="F22" s="14" t="s">
        <v>42</v>
      </c>
      <c r="G22" s="15"/>
      <c r="H22" s="16"/>
      <c r="I22" s="15"/>
      <c r="J22" s="15"/>
      <c r="K22" s="15"/>
      <c r="L22" s="15"/>
      <c r="M22" s="15" t="s">
        <v>20</v>
      </c>
      <c r="N22" s="15"/>
      <c r="O22" s="16"/>
      <c r="P22" s="17"/>
      <c r="Q22" s="18"/>
      <c r="R22" s="19"/>
      <c r="S22" s="19"/>
      <c r="T22" s="18"/>
      <c r="U22" s="9"/>
    </row>
    <row r="23" spans="1:21" ht="26.4" x14ac:dyDescent="0.25">
      <c r="A23" s="10" t="s">
        <v>59</v>
      </c>
      <c r="B23" s="10" t="s">
        <v>167</v>
      </c>
      <c r="D23" s="11" t="s">
        <v>160</v>
      </c>
      <c r="E23" s="10" t="s">
        <v>168</v>
      </c>
      <c r="F23" s="14" t="s">
        <v>39</v>
      </c>
      <c r="G23" s="15">
        <v>128</v>
      </c>
      <c r="H23" s="16"/>
      <c r="I23" s="15"/>
      <c r="J23" s="15"/>
      <c r="K23" s="15"/>
      <c r="L23" s="15"/>
      <c r="M23" s="15" t="s">
        <v>20</v>
      </c>
      <c r="N23" s="15"/>
      <c r="O23" s="16"/>
      <c r="P23" s="17"/>
      <c r="Q23" s="18"/>
      <c r="R23" s="19"/>
      <c r="S23" s="19"/>
      <c r="T23" s="18"/>
      <c r="U23" s="9"/>
    </row>
  </sheetData>
  <mergeCells count="2">
    <mergeCell ref="F8:O8"/>
    <mergeCell ref="P8:T8"/>
  </mergeCells>
  <dataValidations count="3">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 type="list" allowBlank="1" showInputMessage="1" showErrorMessage="1" sqref="B1">
      <formula1>$A$11:$A$40</formula1>
    </dataValidation>
  </dataValidations>
  <hyperlinks>
    <hyperlink ref="A7" location="Home!A1" display="Home"/>
  </hyperlinks>
  <pageMargins left="0.7" right="0.7" top="0.78740157499999996" bottom="0.78740157499999996" header="0.3" footer="0.3"/>
  <pageSetup paperSize="9" orientation="portrait" horizontalDpi="720" verticalDpi="72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6">
    <tabColor rgb="FFC0504D"/>
  </sheetPr>
  <dimension ref="A1:U36"/>
  <sheetViews>
    <sheetView workbookViewId="0">
      <selection activeCell="B4" sqref="B4"/>
    </sheetView>
  </sheetViews>
  <sheetFormatPr baseColWidth="10" defaultColWidth="9.21875" defaultRowHeight="13.2" x14ac:dyDescent="0.25"/>
  <cols>
    <col min="1" max="1" width="25" style="10" customWidth="1"/>
    <col min="2" max="2" width="26.5546875" style="10" customWidth="1"/>
    <col min="3" max="3" width="11.5546875" style="10" customWidth="1"/>
    <col min="4" max="4" width="13.5546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0.5546875" style="10" customWidth="1"/>
    <col min="16" max="16" width="10.44140625" style="10" customWidth="1"/>
    <col min="17" max="17" width="12" style="10" bestFit="1" customWidth="1"/>
    <col min="18" max="18" width="13.5546875" style="10" bestFit="1" customWidth="1"/>
    <col min="19" max="19" width="20.5546875" style="10" bestFit="1" customWidth="1"/>
    <col min="20" max="20" width="10.21875" style="10" customWidth="1"/>
    <col min="21" max="16384" width="9.21875" style="10"/>
  </cols>
  <sheetData>
    <row r="1" spans="1:21" x14ac:dyDescent="0.25">
      <c r="A1" s="43" t="s">
        <v>28</v>
      </c>
      <c r="B1" s="5" t="s">
        <v>142</v>
      </c>
      <c r="C1" s="34" t="s">
        <v>312</v>
      </c>
      <c r="D1" s="23"/>
      <c r="E1" s="23"/>
      <c r="F1" s="23"/>
      <c r="G1" s="23"/>
      <c r="H1" s="23"/>
      <c r="I1" s="23"/>
      <c r="J1" s="23"/>
      <c r="K1" s="23"/>
      <c r="L1" s="23"/>
      <c r="M1" s="23"/>
      <c r="N1" s="23"/>
      <c r="O1" s="23"/>
      <c r="P1" s="23"/>
      <c r="Q1" s="23"/>
      <c r="R1" s="23"/>
      <c r="S1" s="23"/>
      <c r="T1" s="23"/>
    </row>
    <row r="2" spans="1:21" x14ac:dyDescent="0.25">
      <c r="A2" s="43" t="s">
        <v>3</v>
      </c>
      <c r="B2" s="25" t="s">
        <v>71</v>
      </c>
      <c r="C2" s="34" t="s">
        <v>313</v>
      </c>
      <c r="D2" s="23"/>
      <c r="E2" s="23"/>
      <c r="F2" s="23"/>
      <c r="G2" s="23"/>
      <c r="H2" s="23"/>
      <c r="I2" s="23"/>
      <c r="J2" s="23"/>
      <c r="K2" s="23"/>
      <c r="L2" s="23"/>
      <c r="M2" s="23"/>
      <c r="N2" s="23"/>
      <c r="O2" s="23"/>
      <c r="P2" s="23"/>
      <c r="Q2" s="23"/>
      <c r="R2" s="23"/>
      <c r="S2" s="23"/>
      <c r="T2" s="23"/>
    </row>
    <row r="3" spans="1:21" s="1" customFormat="1" x14ac:dyDescent="0.25">
      <c r="A3" s="44" t="s">
        <v>29</v>
      </c>
      <c r="B3" s="25" t="s">
        <v>69</v>
      </c>
      <c r="C3" s="35" t="s">
        <v>335</v>
      </c>
      <c r="D3" s="24"/>
      <c r="E3" s="23"/>
      <c r="F3" s="23"/>
      <c r="G3" s="23"/>
      <c r="H3" s="23"/>
      <c r="I3" s="23"/>
      <c r="J3" s="23"/>
      <c r="K3" s="23"/>
      <c r="L3" s="23"/>
      <c r="M3" s="23"/>
      <c r="N3" s="23"/>
      <c r="O3" s="23"/>
      <c r="P3" s="23"/>
      <c r="Q3" s="23"/>
      <c r="R3" s="23"/>
      <c r="S3" s="23"/>
      <c r="T3" s="23"/>
    </row>
    <row r="4" spans="1:21" s="1" customFormat="1" x14ac:dyDescent="0.25">
      <c r="A4" s="44" t="s">
        <v>305</v>
      </c>
      <c r="B4" s="5" t="s">
        <v>346</v>
      </c>
      <c r="C4" s="35" t="s">
        <v>311</v>
      </c>
      <c r="D4" s="24"/>
      <c r="E4" s="23"/>
      <c r="F4" s="23"/>
      <c r="G4" s="23"/>
      <c r="H4" s="23"/>
      <c r="I4" s="23"/>
      <c r="J4" s="23"/>
      <c r="K4" s="23"/>
      <c r="L4" s="23"/>
      <c r="M4" s="23"/>
      <c r="N4" s="23"/>
      <c r="O4" s="23"/>
      <c r="P4" s="23"/>
      <c r="Q4" s="23"/>
      <c r="R4" s="23"/>
      <c r="S4" s="23"/>
      <c r="T4" s="23"/>
    </row>
    <row r="5" spans="1:21" s="1" customFormat="1" x14ac:dyDescent="0.25">
      <c r="A5" s="44" t="s">
        <v>333</v>
      </c>
      <c r="B5" s="7" t="s">
        <v>5</v>
      </c>
      <c r="C5" s="35" t="s">
        <v>334</v>
      </c>
      <c r="D5" s="24"/>
      <c r="E5" s="23"/>
      <c r="F5" s="23"/>
      <c r="G5" s="23"/>
      <c r="H5" s="23"/>
      <c r="I5" s="23"/>
      <c r="J5" s="23"/>
      <c r="K5" s="23"/>
      <c r="L5" s="23"/>
      <c r="M5" s="23"/>
      <c r="N5" s="23"/>
      <c r="O5" s="23"/>
      <c r="P5" s="23"/>
      <c r="Q5" s="23"/>
      <c r="R5" s="23"/>
      <c r="S5" s="23"/>
      <c r="T5" s="23"/>
    </row>
    <row r="6" spans="1:21" s="1" customFormat="1" x14ac:dyDescent="0.25">
      <c r="A6" s="44"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ht="13.5" customHeight="1" x14ac:dyDescent="0.25">
      <c r="A8" s="45"/>
      <c r="B8" s="45"/>
      <c r="C8" s="45"/>
      <c r="D8" s="46"/>
      <c r="E8" s="46"/>
      <c r="F8" s="140" t="s">
        <v>8</v>
      </c>
      <c r="G8" s="141"/>
      <c r="H8" s="141"/>
      <c r="I8" s="141"/>
      <c r="J8" s="141"/>
      <c r="K8" s="141"/>
      <c r="L8" s="141"/>
      <c r="M8" s="141"/>
      <c r="N8" s="141"/>
      <c r="O8" s="142"/>
      <c r="P8" s="143" t="s">
        <v>9</v>
      </c>
      <c r="Q8" s="144"/>
      <c r="R8" s="144"/>
      <c r="S8" s="144"/>
      <c r="T8" s="145"/>
    </row>
    <row r="9" spans="1:21" s="4" customFormat="1" ht="26.25" customHeight="1" x14ac:dyDescent="0.25">
      <c r="A9" s="60" t="s">
        <v>4</v>
      </c>
      <c r="B9" s="60" t="s">
        <v>26</v>
      </c>
      <c r="C9" s="60" t="s">
        <v>7</v>
      </c>
      <c r="D9" s="60" t="s">
        <v>10</v>
      </c>
      <c r="E9" s="60" t="s">
        <v>13</v>
      </c>
      <c r="F9" s="47" t="s">
        <v>11</v>
      </c>
      <c r="G9" s="48" t="s">
        <v>6</v>
      </c>
      <c r="H9" s="48" t="s">
        <v>12</v>
      </c>
      <c r="I9" s="48" t="s">
        <v>87</v>
      </c>
      <c r="J9" s="48" t="s">
        <v>308</v>
      </c>
      <c r="K9" s="48" t="s">
        <v>309</v>
      </c>
      <c r="L9" s="48" t="s">
        <v>14</v>
      </c>
      <c r="M9" s="48" t="s">
        <v>287</v>
      </c>
      <c r="N9" s="48" t="s">
        <v>385</v>
      </c>
      <c r="O9" s="49" t="s">
        <v>15</v>
      </c>
      <c r="P9" s="50" t="s">
        <v>21</v>
      </c>
      <c r="Q9" s="48" t="s">
        <v>22</v>
      </c>
      <c r="R9" s="48" t="s">
        <v>23</v>
      </c>
      <c r="S9" s="48" t="s">
        <v>24</v>
      </c>
      <c r="T9" s="49" t="s">
        <v>16</v>
      </c>
    </row>
    <row r="10" spans="1:21" x14ac:dyDescent="0.25">
      <c r="A10" s="10" t="s">
        <v>46</v>
      </c>
      <c r="B10" s="10" t="s">
        <v>152</v>
      </c>
      <c r="D10" s="11">
        <v>1</v>
      </c>
      <c r="F10" s="14" t="s">
        <v>103</v>
      </c>
      <c r="G10" s="15"/>
      <c r="H10" s="16"/>
      <c r="I10" s="15" t="s">
        <v>41</v>
      </c>
      <c r="J10" s="15"/>
      <c r="K10" s="15"/>
      <c r="L10" s="15"/>
      <c r="M10" s="15" t="s">
        <v>5</v>
      </c>
      <c r="N10" s="15"/>
      <c r="O10" s="16"/>
      <c r="P10" s="17"/>
      <c r="Q10" s="18"/>
      <c r="R10" s="19"/>
      <c r="S10" s="19"/>
      <c r="T10" s="18"/>
      <c r="U10" s="9"/>
    </row>
    <row r="11" spans="1:21" x14ac:dyDescent="0.25">
      <c r="A11" s="10" t="s">
        <v>169</v>
      </c>
      <c r="B11" s="10" t="s">
        <v>177</v>
      </c>
      <c r="D11" s="11">
        <v>1</v>
      </c>
      <c r="F11" s="14" t="s">
        <v>60</v>
      </c>
      <c r="G11" s="15"/>
      <c r="H11" s="16"/>
      <c r="I11" s="15" t="s">
        <v>67</v>
      </c>
      <c r="J11" s="15"/>
      <c r="K11" s="15"/>
      <c r="L11" s="15" t="s">
        <v>225</v>
      </c>
      <c r="M11" s="15" t="s">
        <v>5</v>
      </c>
      <c r="N11" s="15"/>
      <c r="O11" s="16"/>
      <c r="P11" s="17"/>
      <c r="Q11" s="18"/>
      <c r="R11" s="19"/>
      <c r="S11" s="19"/>
      <c r="T11" s="18"/>
      <c r="U11" s="9"/>
    </row>
    <row r="12" spans="1:21" x14ac:dyDescent="0.25">
      <c r="A12" s="10" t="s">
        <v>170</v>
      </c>
      <c r="B12" s="10" t="s">
        <v>178</v>
      </c>
      <c r="D12" s="11">
        <v>1</v>
      </c>
      <c r="F12" s="14" t="s">
        <v>60</v>
      </c>
      <c r="G12" s="15"/>
      <c r="H12" s="16"/>
      <c r="I12" s="15"/>
      <c r="J12" s="15"/>
      <c r="K12" s="15"/>
      <c r="L12" s="15"/>
      <c r="M12" s="15" t="s">
        <v>20</v>
      </c>
      <c r="N12" s="15"/>
      <c r="O12" s="16"/>
      <c r="P12" s="17"/>
      <c r="Q12" s="18"/>
      <c r="R12" s="19"/>
      <c r="S12" s="19"/>
      <c r="T12" s="18"/>
      <c r="U12" s="9"/>
    </row>
    <row r="13" spans="1:21" x14ac:dyDescent="0.25">
      <c r="A13" s="10" t="s">
        <v>198</v>
      </c>
      <c r="B13" s="10" t="s">
        <v>199</v>
      </c>
      <c r="F13" s="14" t="s">
        <v>60</v>
      </c>
      <c r="G13" s="15"/>
      <c r="H13" s="16"/>
      <c r="I13" s="15"/>
      <c r="J13" s="15"/>
      <c r="K13" s="15"/>
      <c r="L13" s="15"/>
      <c r="M13" s="15" t="s">
        <v>20</v>
      </c>
      <c r="N13" s="15"/>
      <c r="O13" s="16"/>
      <c r="P13" s="17"/>
      <c r="Q13" s="18"/>
      <c r="R13" s="19"/>
      <c r="S13" s="19"/>
      <c r="T13" s="18"/>
      <c r="U13" s="9"/>
    </row>
    <row r="14" spans="1:21" ht="52.8" x14ac:dyDescent="0.25">
      <c r="A14" s="10" t="s">
        <v>72</v>
      </c>
      <c r="B14" s="10" t="s">
        <v>200</v>
      </c>
      <c r="C14" s="11" t="s">
        <v>202</v>
      </c>
      <c r="D14" s="11" t="s">
        <v>201</v>
      </c>
      <c r="F14" s="14" t="s">
        <v>86</v>
      </c>
      <c r="G14" s="15">
        <v>1</v>
      </c>
      <c r="H14" s="16"/>
      <c r="I14" s="15"/>
      <c r="J14" s="15"/>
      <c r="K14" s="15"/>
      <c r="L14" s="15"/>
      <c r="M14" s="15" t="s">
        <v>5</v>
      </c>
      <c r="N14" s="15"/>
      <c r="O14" s="16"/>
      <c r="P14" s="17"/>
      <c r="Q14" s="18"/>
      <c r="R14" s="19"/>
      <c r="S14" s="19"/>
      <c r="T14" s="18"/>
      <c r="U14" s="9"/>
    </row>
    <row r="15" spans="1:21" ht="26.4" x14ac:dyDescent="0.25">
      <c r="A15" s="10" t="s">
        <v>9</v>
      </c>
      <c r="B15" s="10" t="s">
        <v>175</v>
      </c>
      <c r="D15" s="11" t="s">
        <v>176</v>
      </c>
      <c r="F15" s="14" t="s">
        <v>39</v>
      </c>
      <c r="G15" s="15">
        <v>5</v>
      </c>
      <c r="H15" s="16"/>
      <c r="I15" s="15"/>
      <c r="J15" s="15"/>
      <c r="K15" s="15"/>
      <c r="L15" s="15"/>
      <c r="M15" s="15" t="s">
        <v>5</v>
      </c>
      <c r="N15" s="15"/>
      <c r="O15" s="16"/>
      <c r="P15" s="17"/>
      <c r="Q15" s="18"/>
      <c r="R15" s="19"/>
      <c r="S15" s="19"/>
      <c r="T15" s="18"/>
      <c r="U15" s="9"/>
    </row>
    <row r="16" spans="1:21" ht="39.6" x14ac:dyDescent="0.25">
      <c r="A16" s="10" t="s">
        <v>64</v>
      </c>
      <c r="B16" s="10" t="s">
        <v>185</v>
      </c>
      <c r="D16" s="11" t="s">
        <v>186</v>
      </c>
      <c r="F16" s="14" t="s">
        <v>39</v>
      </c>
      <c r="G16" s="15">
        <v>128</v>
      </c>
      <c r="H16" s="16"/>
      <c r="I16" s="15"/>
      <c r="J16" s="15"/>
      <c r="K16" s="15"/>
      <c r="L16" s="15"/>
      <c r="M16" s="15" t="s">
        <v>5</v>
      </c>
      <c r="N16" s="15"/>
      <c r="O16" s="16"/>
      <c r="P16" s="17"/>
      <c r="Q16" s="18"/>
      <c r="R16" s="19"/>
      <c r="S16" s="19"/>
      <c r="T16" s="18"/>
      <c r="U16" s="9"/>
    </row>
    <row r="17" spans="1:21" x14ac:dyDescent="0.25">
      <c r="A17" s="10" t="s">
        <v>73</v>
      </c>
      <c r="B17" s="10" t="s">
        <v>204</v>
      </c>
      <c r="F17" s="14" t="s">
        <v>39</v>
      </c>
      <c r="G17" s="15">
        <v>128</v>
      </c>
      <c r="H17" s="16"/>
      <c r="I17" s="15"/>
      <c r="J17" s="15"/>
      <c r="K17" s="15"/>
      <c r="L17" s="15"/>
      <c r="M17" s="15" t="s">
        <v>20</v>
      </c>
      <c r="N17" s="15"/>
      <c r="O17" s="16"/>
      <c r="P17" s="17"/>
      <c r="Q17" s="18"/>
      <c r="R17" s="19"/>
      <c r="S17" s="19"/>
      <c r="T17" s="18"/>
      <c r="U17" s="9"/>
    </row>
    <row r="18" spans="1:21" x14ac:dyDescent="0.25">
      <c r="A18" s="10" t="s">
        <v>65</v>
      </c>
      <c r="B18" s="10" t="s">
        <v>187</v>
      </c>
      <c r="D18" s="11" t="s">
        <v>111</v>
      </c>
      <c r="F18" s="14" t="s">
        <v>39</v>
      </c>
      <c r="G18" s="15">
        <v>128</v>
      </c>
      <c r="H18" s="16"/>
      <c r="I18" s="15"/>
      <c r="J18" s="15"/>
      <c r="K18" s="15"/>
      <c r="L18" s="15"/>
      <c r="M18" s="15" t="s">
        <v>20</v>
      </c>
      <c r="N18" s="15"/>
      <c r="O18" s="16"/>
      <c r="P18" s="17"/>
      <c r="Q18" s="18"/>
      <c r="R18" s="19"/>
      <c r="S18" s="19"/>
      <c r="T18" s="18"/>
      <c r="U18" s="9"/>
    </row>
    <row r="19" spans="1:21" x14ac:dyDescent="0.25">
      <c r="A19" s="10" t="s">
        <v>66</v>
      </c>
      <c r="B19" s="10" t="s">
        <v>188</v>
      </c>
      <c r="D19" s="11" t="s">
        <v>190</v>
      </c>
      <c r="F19" s="14" t="s">
        <v>39</v>
      </c>
      <c r="G19" s="15" t="s">
        <v>40</v>
      </c>
      <c r="H19" s="16"/>
      <c r="I19" s="15"/>
      <c r="J19" s="15"/>
      <c r="K19" s="15"/>
      <c r="L19" s="15"/>
      <c r="M19" s="15" t="s">
        <v>20</v>
      </c>
      <c r="N19" s="15"/>
      <c r="O19" s="16"/>
      <c r="P19" s="17"/>
      <c r="Q19" s="18"/>
      <c r="R19" s="19"/>
      <c r="S19" s="19"/>
      <c r="T19" s="18"/>
      <c r="U19" s="9"/>
    </row>
    <row r="20" spans="1:21" x14ac:dyDescent="0.25">
      <c r="A20" s="10" t="s">
        <v>74</v>
      </c>
      <c r="B20" s="10" t="s">
        <v>205</v>
      </c>
      <c r="F20" s="14" t="s">
        <v>39</v>
      </c>
      <c r="G20" s="15">
        <v>128</v>
      </c>
      <c r="H20" s="16"/>
      <c r="I20" s="15"/>
      <c r="J20" s="15"/>
      <c r="K20" s="15"/>
      <c r="L20" s="15"/>
      <c r="M20" s="15" t="s">
        <v>20</v>
      </c>
      <c r="N20" s="15"/>
      <c r="O20" s="16"/>
      <c r="P20" s="17"/>
      <c r="Q20" s="18"/>
      <c r="R20" s="19"/>
      <c r="S20" s="19"/>
      <c r="T20" s="18"/>
      <c r="U20" s="9"/>
    </row>
    <row r="21" spans="1:21" x14ac:dyDescent="0.25">
      <c r="A21" s="10" t="s">
        <v>75</v>
      </c>
      <c r="B21" s="10" t="s">
        <v>206</v>
      </c>
      <c r="F21" s="14" t="s">
        <v>39</v>
      </c>
      <c r="G21" s="15">
        <v>128</v>
      </c>
      <c r="H21" s="16"/>
      <c r="I21" s="15"/>
      <c r="J21" s="15"/>
      <c r="K21" s="15"/>
      <c r="L21" s="15"/>
      <c r="M21" s="15" t="s">
        <v>20</v>
      </c>
      <c r="N21" s="15"/>
      <c r="O21" s="16"/>
      <c r="P21" s="17"/>
      <c r="Q21" s="18"/>
      <c r="R21" s="19"/>
      <c r="S21" s="19"/>
      <c r="T21" s="18"/>
      <c r="U21" s="9"/>
    </row>
    <row r="22" spans="1:21" x14ac:dyDescent="0.25">
      <c r="A22" s="10" t="s">
        <v>76</v>
      </c>
      <c r="B22" s="10" t="s">
        <v>207</v>
      </c>
      <c r="F22" s="14" t="s">
        <v>39</v>
      </c>
      <c r="G22" s="15" t="s">
        <v>40</v>
      </c>
      <c r="H22" s="16"/>
      <c r="I22" s="15"/>
      <c r="J22" s="15"/>
      <c r="K22" s="15"/>
      <c r="L22" s="15"/>
      <c r="M22" s="15" t="s">
        <v>20</v>
      </c>
      <c r="N22" s="15"/>
      <c r="O22" s="16"/>
      <c r="P22" s="17"/>
      <c r="Q22" s="18"/>
      <c r="R22" s="19"/>
      <c r="S22" s="19"/>
      <c r="T22" s="18"/>
      <c r="U22" s="9"/>
    </row>
    <row r="23" spans="1:21" x14ac:dyDescent="0.25">
      <c r="A23" s="10" t="s">
        <v>77</v>
      </c>
      <c r="B23" s="10" t="s">
        <v>208</v>
      </c>
      <c r="F23" s="14" t="s">
        <v>39</v>
      </c>
      <c r="G23" s="15">
        <v>128</v>
      </c>
      <c r="H23" s="16"/>
      <c r="I23" s="15"/>
      <c r="J23" s="15"/>
      <c r="K23" s="15"/>
      <c r="L23" s="15"/>
      <c r="M23" s="15" t="s">
        <v>20</v>
      </c>
      <c r="N23" s="15"/>
      <c r="O23" s="16"/>
      <c r="P23" s="17"/>
      <c r="Q23" s="18"/>
      <c r="R23" s="19"/>
      <c r="S23" s="19"/>
      <c r="T23" s="18"/>
      <c r="U23" s="9"/>
    </row>
    <row r="24" spans="1:21" x14ac:dyDescent="0.25">
      <c r="A24" s="10" t="s">
        <v>78</v>
      </c>
      <c r="B24" s="10" t="s">
        <v>209</v>
      </c>
      <c r="F24" s="14" t="s">
        <v>39</v>
      </c>
      <c r="G24" s="15" t="s">
        <v>40</v>
      </c>
      <c r="H24" s="16"/>
      <c r="I24" s="15"/>
      <c r="J24" s="15"/>
      <c r="K24" s="15"/>
      <c r="L24" s="15"/>
      <c r="M24" s="15" t="s">
        <v>20</v>
      </c>
      <c r="N24" s="15"/>
      <c r="O24" s="16"/>
      <c r="P24" s="17"/>
      <c r="Q24" s="18"/>
      <c r="R24" s="19"/>
      <c r="S24" s="19"/>
      <c r="T24" s="18"/>
      <c r="U24" s="9"/>
    </row>
    <row r="25" spans="1:21" x14ac:dyDescent="0.25">
      <c r="A25" s="10" t="s">
        <v>79</v>
      </c>
      <c r="B25" s="10" t="s">
        <v>210</v>
      </c>
      <c r="F25" s="14" t="s">
        <v>39</v>
      </c>
      <c r="G25" s="15">
        <v>128</v>
      </c>
      <c r="H25" s="16"/>
      <c r="I25" s="15"/>
      <c r="J25" s="15"/>
      <c r="K25" s="15"/>
      <c r="L25" s="15"/>
      <c r="M25" s="15" t="s">
        <v>20</v>
      </c>
      <c r="N25" s="15"/>
      <c r="O25" s="16"/>
      <c r="P25" s="17"/>
      <c r="Q25" s="18"/>
      <c r="R25" s="19"/>
      <c r="S25" s="19"/>
      <c r="T25" s="18"/>
      <c r="U25" s="9"/>
    </row>
    <row r="26" spans="1:21" x14ac:dyDescent="0.25">
      <c r="A26" s="10" t="s">
        <v>80</v>
      </c>
      <c r="B26" s="10" t="s">
        <v>211</v>
      </c>
      <c r="F26" s="14" t="s">
        <v>39</v>
      </c>
      <c r="G26" s="15" t="s">
        <v>40</v>
      </c>
      <c r="H26" s="16"/>
      <c r="I26" s="15"/>
      <c r="J26" s="15"/>
      <c r="K26" s="15"/>
      <c r="L26" s="15"/>
      <c r="M26" s="15" t="s">
        <v>20</v>
      </c>
      <c r="N26" s="15"/>
      <c r="O26" s="16"/>
      <c r="P26" s="17"/>
      <c r="Q26" s="18"/>
      <c r="R26" s="19"/>
      <c r="S26" s="19"/>
      <c r="T26" s="18"/>
      <c r="U26" s="9"/>
    </row>
    <row r="27" spans="1:21" x14ac:dyDescent="0.25">
      <c r="A27" s="10" t="s">
        <v>81</v>
      </c>
      <c r="B27" s="10" t="s">
        <v>212</v>
      </c>
      <c r="F27" s="14" t="s">
        <v>39</v>
      </c>
      <c r="G27" s="15">
        <v>128</v>
      </c>
      <c r="H27" s="16"/>
      <c r="I27" s="15"/>
      <c r="J27" s="15"/>
      <c r="K27" s="15"/>
      <c r="L27" s="15"/>
      <c r="M27" s="15" t="s">
        <v>20</v>
      </c>
      <c r="N27" s="15"/>
      <c r="O27" s="16"/>
      <c r="P27" s="17"/>
      <c r="Q27" s="18"/>
      <c r="R27" s="19"/>
      <c r="S27" s="19"/>
      <c r="T27" s="18"/>
      <c r="U27" s="9"/>
    </row>
    <row r="28" spans="1:21" x14ac:dyDescent="0.25">
      <c r="A28" s="10" t="s">
        <v>82</v>
      </c>
      <c r="B28" s="10" t="s">
        <v>213</v>
      </c>
      <c r="F28" s="14" t="s">
        <v>39</v>
      </c>
      <c r="G28" s="15" t="s">
        <v>40</v>
      </c>
      <c r="H28" s="16"/>
      <c r="I28" s="15"/>
      <c r="J28" s="15"/>
      <c r="K28" s="15"/>
      <c r="L28" s="15"/>
      <c r="M28" s="15" t="s">
        <v>20</v>
      </c>
      <c r="N28" s="15"/>
      <c r="O28" s="16"/>
      <c r="P28" s="17"/>
      <c r="Q28" s="18"/>
      <c r="R28" s="19"/>
      <c r="S28" s="19"/>
      <c r="T28" s="18"/>
      <c r="U28" s="9"/>
    </row>
    <row r="29" spans="1:21" x14ac:dyDescent="0.25">
      <c r="A29" s="10" t="s">
        <v>83</v>
      </c>
      <c r="B29" s="10" t="s">
        <v>214</v>
      </c>
      <c r="F29" s="14" t="s">
        <v>39</v>
      </c>
      <c r="G29" s="15">
        <v>128</v>
      </c>
      <c r="H29" s="16"/>
      <c r="I29" s="15"/>
      <c r="J29" s="15"/>
      <c r="K29" s="15"/>
      <c r="L29" s="15"/>
      <c r="M29" s="15" t="s">
        <v>20</v>
      </c>
      <c r="N29" s="15"/>
      <c r="O29" s="16"/>
      <c r="P29" s="17"/>
      <c r="Q29" s="18"/>
      <c r="R29" s="19"/>
      <c r="S29" s="19"/>
      <c r="T29" s="18"/>
      <c r="U29" s="9"/>
    </row>
    <row r="30" spans="1:21" x14ac:dyDescent="0.25">
      <c r="A30" s="10" t="s">
        <v>84</v>
      </c>
      <c r="B30" s="10" t="s">
        <v>216</v>
      </c>
      <c r="E30" s="10" t="s">
        <v>215</v>
      </c>
      <c r="F30" s="14" t="s">
        <v>39</v>
      </c>
      <c r="G30" s="15">
        <v>128</v>
      </c>
      <c r="H30" s="16"/>
      <c r="I30" s="15"/>
      <c r="J30" s="15"/>
      <c r="K30" s="15"/>
      <c r="L30" s="15"/>
      <c r="M30" s="15" t="s">
        <v>20</v>
      </c>
      <c r="N30" s="15"/>
      <c r="O30" s="16"/>
      <c r="P30" s="17"/>
      <c r="Q30" s="18"/>
      <c r="R30" s="19"/>
      <c r="S30" s="19"/>
      <c r="T30" s="18"/>
      <c r="U30" s="9"/>
    </row>
    <row r="31" spans="1:21" x14ac:dyDescent="0.25">
      <c r="A31" s="10" t="s">
        <v>7</v>
      </c>
      <c r="B31" s="10" t="s">
        <v>217</v>
      </c>
      <c r="F31" s="14" t="s">
        <v>39</v>
      </c>
      <c r="G31" s="15" t="s">
        <v>40</v>
      </c>
      <c r="H31" s="16"/>
      <c r="I31" s="15"/>
      <c r="J31" s="15"/>
      <c r="K31" s="15"/>
      <c r="L31" s="15"/>
      <c r="M31" s="15" t="s">
        <v>20</v>
      </c>
      <c r="N31" s="15"/>
      <c r="O31" s="16"/>
      <c r="P31" s="17"/>
      <c r="Q31" s="18"/>
      <c r="R31" s="19"/>
      <c r="S31" s="19"/>
      <c r="T31" s="18"/>
      <c r="U31" s="9"/>
    </row>
    <row r="32" spans="1:21" x14ac:dyDescent="0.25">
      <c r="A32" s="10" t="s">
        <v>32</v>
      </c>
      <c r="B32" s="10" t="s">
        <v>219</v>
      </c>
      <c r="F32" s="14" t="s">
        <v>60</v>
      </c>
      <c r="G32" s="15"/>
      <c r="H32" s="16"/>
      <c r="I32" s="15"/>
      <c r="J32" s="15"/>
      <c r="K32" s="15"/>
      <c r="L32" s="15"/>
      <c r="M32" s="15" t="s">
        <v>20</v>
      </c>
      <c r="N32" s="15"/>
      <c r="O32" s="16"/>
      <c r="P32" s="17"/>
      <c r="Q32" s="18"/>
      <c r="R32" s="19"/>
      <c r="S32" s="19"/>
      <c r="T32" s="18"/>
      <c r="U32" s="9"/>
    </row>
    <row r="33" spans="1:21" x14ac:dyDescent="0.25">
      <c r="A33" s="10" t="s">
        <v>85</v>
      </c>
      <c r="B33" s="10" t="s">
        <v>218</v>
      </c>
      <c r="F33" s="14" t="s">
        <v>60</v>
      </c>
      <c r="G33" s="15"/>
      <c r="H33" s="16"/>
      <c r="I33" s="15"/>
      <c r="J33" s="15"/>
      <c r="K33" s="15"/>
      <c r="L33" s="15"/>
      <c r="M33" s="15" t="s">
        <v>20</v>
      </c>
      <c r="N33" s="15"/>
      <c r="O33" s="16"/>
      <c r="P33" s="17"/>
      <c r="Q33" s="18"/>
      <c r="R33" s="19"/>
      <c r="S33" s="19"/>
      <c r="T33" s="18"/>
      <c r="U33" s="9"/>
    </row>
    <row r="34" spans="1:21" x14ac:dyDescent="0.25">
      <c r="A34" s="10" t="s">
        <v>54</v>
      </c>
      <c r="B34" s="10" t="s">
        <v>220</v>
      </c>
      <c r="F34" s="14" t="s">
        <v>39</v>
      </c>
      <c r="G34" s="15" t="s">
        <v>40</v>
      </c>
      <c r="H34" s="16"/>
      <c r="I34" s="15"/>
      <c r="J34" s="15"/>
      <c r="K34" s="15"/>
      <c r="L34" s="15"/>
      <c r="M34" s="15" t="s">
        <v>20</v>
      </c>
      <c r="N34" s="15"/>
      <c r="O34" s="16"/>
      <c r="P34" s="17"/>
      <c r="Q34" s="18"/>
      <c r="R34" s="19"/>
      <c r="S34" s="19"/>
      <c r="T34" s="18"/>
      <c r="U34" s="9"/>
    </row>
    <row r="35" spans="1:21" ht="26.4" x14ac:dyDescent="0.25">
      <c r="A35" s="10" t="s">
        <v>56</v>
      </c>
      <c r="B35" s="10" t="s">
        <v>179</v>
      </c>
      <c r="D35" s="11" t="s">
        <v>116</v>
      </c>
      <c r="F35" s="14" t="s">
        <v>42</v>
      </c>
      <c r="G35" s="15"/>
      <c r="H35" s="16"/>
      <c r="I35" s="15"/>
      <c r="J35" s="15"/>
      <c r="K35" s="15"/>
      <c r="L35" s="15"/>
      <c r="M35" s="15" t="s">
        <v>5</v>
      </c>
      <c r="N35" s="15"/>
      <c r="O35" s="16" t="s">
        <v>62</v>
      </c>
      <c r="P35" s="17"/>
      <c r="Q35" s="18"/>
      <c r="R35" s="19"/>
      <c r="S35" s="19"/>
      <c r="T35" s="18"/>
      <c r="U35" s="9"/>
    </row>
    <row r="36" spans="1:21" ht="26.4" x14ac:dyDescent="0.25">
      <c r="A36" s="10" t="s">
        <v>57</v>
      </c>
      <c r="B36" s="10" t="s">
        <v>166</v>
      </c>
      <c r="D36" s="11" t="s">
        <v>158</v>
      </c>
      <c r="F36" s="14" t="s">
        <v>39</v>
      </c>
      <c r="G36" s="15">
        <v>100</v>
      </c>
      <c r="H36" s="16"/>
      <c r="I36" s="15"/>
      <c r="J36" s="15"/>
      <c r="K36" s="15"/>
      <c r="L36" s="15"/>
      <c r="M36" s="15" t="s">
        <v>5</v>
      </c>
      <c r="N36" s="15"/>
      <c r="O36" s="16" t="s">
        <v>63</v>
      </c>
      <c r="P36" s="17"/>
      <c r="Q36" s="18"/>
      <c r="R36" s="19"/>
      <c r="S36" s="19"/>
      <c r="T36" s="18"/>
      <c r="U36" s="9"/>
    </row>
  </sheetData>
  <mergeCells count="2">
    <mergeCell ref="F8:O8"/>
    <mergeCell ref="P8:T8"/>
  </mergeCells>
  <dataValidations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3">
    <tabColor rgb="FFC0504D"/>
  </sheetPr>
  <dimension ref="A1:U25"/>
  <sheetViews>
    <sheetView tabSelected="1" workbookViewId="0">
      <selection activeCell="C15" sqref="C15"/>
    </sheetView>
  </sheetViews>
  <sheetFormatPr baseColWidth="10" defaultColWidth="9.21875" defaultRowHeight="13.2" x14ac:dyDescent="0.25"/>
  <cols>
    <col min="1" max="1" width="25" style="10" customWidth="1"/>
    <col min="2" max="2" width="26.5546875" style="10" customWidth="1"/>
    <col min="3" max="3" width="11.5546875" style="10" customWidth="1"/>
    <col min="4" max="4" width="18.21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0.5546875" style="10" customWidth="1"/>
    <col min="16" max="16" width="10.44140625" style="10" customWidth="1"/>
    <col min="17" max="17" width="12" style="10" bestFit="1" customWidth="1"/>
    <col min="18" max="18" width="13.5546875" style="10" bestFit="1" customWidth="1"/>
    <col min="19" max="19" width="20.5546875" style="10" bestFit="1" customWidth="1"/>
    <col min="20" max="20" width="10.21875" style="10" customWidth="1"/>
    <col min="21" max="16384" width="9.21875" style="10"/>
  </cols>
  <sheetData>
    <row r="1" spans="1:21" x14ac:dyDescent="0.25">
      <c r="A1" s="43" t="s">
        <v>28</v>
      </c>
      <c r="B1" s="5" t="s">
        <v>142</v>
      </c>
      <c r="C1" s="34" t="s">
        <v>312</v>
      </c>
      <c r="D1" s="23"/>
      <c r="E1" s="23"/>
      <c r="F1" s="23"/>
      <c r="G1" s="23"/>
      <c r="H1" s="23"/>
      <c r="I1" s="23"/>
      <c r="J1" s="23"/>
      <c r="K1" s="23"/>
      <c r="L1" s="23"/>
      <c r="M1" s="23"/>
      <c r="N1" s="23"/>
      <c r="O1" s="23"/>
      <c r="P1" s="23"/>
      <c r="Q1" s="23"/>
      <c r="R1" s="23"/>
      <c r="S1" s="23"/>
      <c r="T1" s="23"/>
    </row>
    <row r="2" spans="1:21" x14ac:dyDescent="0.25">
      <c r="A2" s="43" t="s">
        <v>3</v>
      </c>
      <c r="B2" s="25" t="s">
        <v>45</v>
      </c>
      <c r="C2" s="34" t="s">
        <v>313</v>
      </c>
      <c r="D2" s="23"/>
      <c r="E2" s="23"/>
      <c r="F2" s="23"/>
      <c r="G2" s="23"/>
      <c r="H2" s="23"/>
      <c r="I2" s="23"/>
      <c r="J2" s="23"/>
      <c r="K2" s="23"/>
      <c r="L2" s="23"/>
      <c r="M2" s="23"/>
      <c r="N2" s="23"/>
      <c r="O2" s="23"/>
      <c r="P2" s="23"/>
      <c r="Q2" s="23"/>
      <c r="R2" s="23"/>
      <c r="S2" s="23"/>
      <c r="T2" s="23"/>
    </row>
    <row r="3" spans="1:21" s="1" customFormat="1" x14ac:dyDescent="0.25">
      <c r="A3" s="44" t="s">
        <v>29</v>
      </c>
      <c r="B3" s="25" t="s">
        <v>44</v>
      </c>
      <c r="C3" s="35" t="s">
        <v>335</v>
      </c>
      <c r="D3" s="24"/>
      <c r="E3" s="23"/>
      <c r="F3" s="23"/>
      <c r="G3" s="23"/>
      <c r="H3" s="23"/>
      <c r="I3" s="23"/>
      <c r="J3" s="23"/>
      <c r="K3" s="23"/>
      <c r="L3" s="23"/>
      <c r="M3" s="23"/>
      <c r="N3" s="23"/>
      <c r="O3" s="23"/>
      <c r="P3" s="23"/>
      <c r="Q3" s="23"/>
      <c r="R3" s="23"/>
      <c r="S3" s="23"/>
      <c r="T3" s="23"/>
    </row>
    <row r="4" spans="1:21" s="1" customFormat="1" x14ac:dyDescent="0.25">
      <c r="A4" s="44" t="s">
        <v>305</v>
      </c>
      <c r="B4" s="5" t="s">
        <v>346</v>
      </c>
      <c r="C4" s="35" t="s">
        <v>311</v>
      </c>
      <c r="D4" s="24"/>
      <c r="E4" s="23"/>
      <c r="F4" s="23"/>
      <c r="G4" s="23"/>
      <c r="H4" s="23"/>
      <c r="I4" s="23"/>
      <c r="J4" s="23"/>
      <c r="K4" s="23"/>
      <c r="L4" s="23"/>
      <c r="M4" s="23"/>
      <c r="N4" s="23"/>
      <c r="O4" s="23"/>
      <c r="P4" s="23"/>
      <c r="Q4" s="23"/>
      <c r="R4" s="23"/>
      <c r="S4" s="23"/>
      <c r="T4" s="23"/>
    </row>
    <row r="5" spans="1:21" s="1" customFormat="1" x14ac:dyDescent="0.25">
      <c r="A5" s="44" t="s">
        <v>333</v>
      </c>
      <c r="B5" s="7" t="s">
        <v>5</v>
      </c>
      <c r="C5" s="35" t="s">
        <v>334</v>
      </c>
      <c r="D5" s="24"/>
      <c r="E5" s="23"/>
      <c r="F5" s="23"/>
      <c r="G5" s="23"/>
      <c r="H5" s="23"/>
      <c r="I5" s="23"/>
      <c r="J5" s="23"/>
      <c r="K5" s="23"/>
      <c r="L5" s="23"/>
      <c r="M5" s="23"/>
      <c r="N5" s="23"/>
      <c r="O5" s="23"/>
      <c r="P5" s="23"/>
      <c r="Q5" s="23"/>
      <c r="R5" s="23"/>
      <c r="S5" s="23"/>
      <c r="T5" s="23"/>
    </row>
    <row r="6" spans="1:21" s="1" customFormat="1" x14ac:dyDescent="0.25">
      <c r="A6" s="44"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ht="13.5" customHeight="1" x14ac:dyDescent="0.25">
      <c r="A8" s="45"/>
      <c r="B8" s="45"/>
      <c r="C8" s="45"/>
      <c r="D8" s="46"/>
      <c r="E8" s="46"/>
      <c r="F8" s="140" t="s">
        <v>8</v>
      </c>
      <c r="G8" s="141"/>
      <c r="H8" s="141"/>
      <c r="I8" s="141"/>
      <c r="J8" s="141"/>
      <c r="K8" s="141"/>
      <c r="L8" s="141"/>
      <c r="M8" s="141"/>
      <c r="N8" s="141"/>
      <c r="O8" s="142"/>
      <c r="P8" s="143" t="s">
        <v>9</v>
      </c>
      <c r="Q8" s="144"/>
      <c r="R8" s="144"/>
      <c r="S8" s="144"/>
      <c r="T8" s="145"/>
    </row>
    <row r="9" spans="1:21" s="4" customFormat="1" ht="26.25" customHeight="1" x14ac:dyDescent="0.25">
      <c r="A9" s="60" t="s">
        <v>4</v>
      </c>
      <c r="B9" s="60" t="s">
        <v>26</v>
      </c>
      <c r="C9" s="60" t="s">
        <v>7</v>
      </c>
      <c r="D9" s="60" t="s">
        <v>10</v>
      </c>
      <c r="E9" s="60" t="s">
        <v>13</v>
      </c>
      <c r="F9" s="47" t="s">
        <v>11</v>
      </c>
      <c r="G9" s="48" t="s">
        <v>6</v>
      </c>
      <c r="H9" s="48" t="s">
        <v>12</v>
      </c>
      <c r="I9" s="48" t="s">
        <v>87</v>
      </c>
      <c r="J9" s="48" t="s">
        <v>308</v>
      </c>
      <c r="K9" s="48" t="s">
        <v>309</v>
      </c>
      <c r="L9" s="48" t="s">
        <v>14</v>
      </c>
      <c r="M9" s="48" t="s">
        <v>287</v>
      </c>
      <c r="N9" s="48" t="s">
        <v>385</v>
      </c>
      <c r="O9" s="49" t="s">
        <v>15</v>
      </c>
      <c r="P9" s="50" t="s">
        <v>21</v>
      </c>
      <c r="Q9" s="48" t="s">
        <v>22</v>
      </c>
      <c r="R9" s="48" t="s">
        <v>23</v>
      </c>
      <c r="S9" s="48" t="s">
        <v>24</v>
      </c>
      <c r="T9" s="49" t="s">
        <v>16</v>
      </c>
    </row>
    <row r="10" spans="1:21" x14ac:dyDescent="0.25">
      <c r="A10" s="10" t="s">
        <v>46</v>
      </c>
      <c r="B10" s="10" t="s">
        <v>152</v>
      </c>
      <c r="D10" s="11">
        <v>1</v>
      </c>
      <c r="F10" s="14" t="s">
        <v>60</v>
      </c>
      <c r="G10" s="15"/>
      <c r="H10" s="16"/>
      <c r="I10" s="15" t="s">
        <v>41</v>
      </c>
      <c r="J10" s="15"/>
      <c r="K10" s="15"/>
      <c r="L10" s="15"/>
      <c r="M10" s="15" t="s">
        <v>5</v>
      </c>
      <c r="N10" s="15"/>
      <c r="O10" s="16"/>
      <c r="P10" s="17"/>
      <c r="Q10" s="18"/>
      <c r="R10" s="19"/>
      <c r="S10" s="19"/>
      <c r="T10" s="18"/>
      <c r="U10" s="9"/>
    </row>
    <row r="11" spans="1:21" x14ac:dyDescent="0.25">
      <c r="A11" s="10" t="s">
        <v>47</v>
      </c>
      <c r="B11" s="10" t="s">
        <v>183</v>
      </c>
      <c r="D11" s="11" t="s">
        <v>157</v>
      </c>
      <c r="F11" s="14" t="s">
        <v>39</v>
      </c>
      <c r="G11" s="15" t="s">
        <v>40</v>
      </c>
      <c r="H11" s="16"/>
      <c r="I11" s="15"/>
      <c r="J11" s="15"/>
      <c r="K11" s="15"/>
      <c r="L11" s="15"/>
      <c r="M11" s="15" t="s">
        <v>5</v>
      </c>
      <c r="N11" s="15"/>
      <c r="O11" s="16"/>
      <c r="P11" s="17"/>
      <c r="Q11" s="18"/>
      <c r="R11" s="19"/>
      <c r="S11" s="19"/>
      <c r="T11" s="18"/>
      <c r="U11" s="9"/>
    </row>
    <row r="12" spans="1:21" ht="26.4" x14ac:dyDescent="0.25">
      <c r="A12" s="10" t="s">
        <v>48</v>
      </c>
      <c r="B12" s="10" t="s">
        <v>184</v>
      </c>
      <c r="D12" s="11" t="s">
        <v>158</v>
      </c>
      <c r="F12" s="14" t="s">
        <v>42</v>
      </c>
      <c r="G12" s="15"/>
      <c r="H12" s="16"/>
      <c r="I12" s="15"/>
      <c r="J12" s="15"/>
      <c r="K12" s="15"/>
      <c r="L12" s="15"/>
      <c r="M12" s="15" t="s">
        <v>5</v>
      </c>
      <c r="N12" s="15"/>
      <c r="O12" s="16"/>
      <c r="P12" s="17"/>
      <c r="Q12" s="18"/>
      <c r="R12" s="19"/>
      <c r="S12" s="19"/>
      <c r="T12" s="18"/>
      <c r="U12" s="9"/>
    </row>
    <row r="13" spans="1:21" ht="26.4" x14ac:dyDescent="0.25">
      <c r="A13" s="10" t="s">
        <v>49</v>
      </c>
      <c r="B13" s="10" t="s">
        <v>153</v>
      </c>
      <c r="D13" s="11" t="s">
        <v>160</v>
      </c>
      <c r="F13" s="14" t="s">
        <v>42</v>
      </c>
      <c r="G13" s="15"/>
      <c r="H13" s="16"/>
      <c r="I13" s="15"/>
      <c r="J13" s="15"/>
      <c r="K13" s="15"/>
      <c r="L13" s="15"/>
      <c r="M13" s="15" t="s">
        <v>20</v>
      </c>
      <c r="N13" s="15"/>
      <c r="O13" s="16"/>
      <c r="P13" s="17"/>
      <c r="Q13" s="18"/>
      <c r="R13" s="19"/>
      <c r="S13" s="19"/>
      <c r="T13" s="18"/>
      <c r="U13" s="9"/>
    </row>
    <row r="14" spans="1:21" ht="26.4" x14ac:dyDescent="0.25">
      <c r="A14" s="10" t="s">
        <v>520</v>
      </c>
      <c r="B14" s="10" t="s">
        <v>521</v>
      </c>
      <c r="D14" s="11" t="s">
        <v>159</v>
      </c>
      <c r="F14" s="14" t="s">
        <v>42</v>
      </c>
      <c r="G14" s="15"/>
      <c r="H14" s="16"/>
      <c r="I14" s="15"/>
      <c r="J14" s="15"/>
      <c r="K14" s="15"/>
      <c r="L14" s="15"/>
      <c r="M14" s="15" t="s">
        <v>20</v>
      </c>
      <c r="N14" s="15"/>
      <c r="O14" s="16"/>
      <c r="P14" s="17"/>
      <c r="Q14" s="18"/>
      <c r="R14" s="19"/>
      <c r="S14" s="19"/>
      <c r="T14" s="18"/>
      <c r="U14" s="9"/>
    </row>
    <row r="15" spans="1:21" ht="26.4" x14ac:dyDescent="0.25">
      <c r="A15" s="10" t="s">
        <v>522</v>
      </c>
      <c r="B15" s="10" t="s">
        <v>523</v>
      </c>
      <c r="D15" s="11" t="s">
        <v>159</v>
      </c>
      <c r="F15" s="14" t="s">
        <v>42</v>
      </c>
      <c r="G15" s="15"/>
      <c r="H15" s="16"/>
      <c r="I15" s="15"/>
      <c r="J15" s="15"/>
      <c r="K15" s="15"/>
      <c r="L15" s="15"/>
      <c r="M15" s="15" t="s">
        <v>20</v>
      </c>
      <c r="N15" s="15"/>
      <c r="O15" s="16"/>
      <c r="P15" s="17"/>
      <c r="Q15" s="18"/>
      <c r="R15" s="19"/>
      <c r="S15" s="19"/>
      <c r="T15" s="18"/>
      <c r="U15" s="9"/>
    </row>
    <row r="16" spans="1:21" x14ac:dyDescent="0.25">
      <c r="A16" s="10" t="s">
        <v>50</v>
      </c>
      <c r="B16" s="10" t="s">
        <v>154</v>
      </c>
      <c r="D16" s="11" t="s">
        <v>116</v>
      </c>
      <c r="F16" s="14" t="s">
        <v>39</v>
      </c>
      <c r="G16" s="15">
        <v>128</v>
      </c>
      <c r="H16" s="16"/>
      <c r="I16" s="15"/>
      <c r="J16" s="15"/>
      <c r="K16" s="15"/>
      <c r="L16" s="15"/>
      <c r="M16" s="15" t="s">
        <v>20</v>
      </c>
      <c r="N16" s="15"/>
      <c r="O16" s="16"/>
      <c r="P16" s="17"/>
      <c r="Q16" s="18"/>
      <c r="R16" s="19"/>
      <c r="S16" s="19"/>
      <c r="T16" s="18"/>
      <c r="U16" s="9"/>
    </row>
    <row r="17" spans="1:21" x14ac:dyDescent="0.25">
      <c r="A17" s="10" t="s">
        <v>51</v>
      </c>
      <c r="B17" s="10" t="s">
        <v>155</v>
      </c>
      <c r="D17" s="11" t="s">
        <v>161</v>
      </c>
      <c r="F17" s="14" t="s">
        <v>39</v>
      </c>
      <c r="G17" s="15">
        <v>128</v>
      </c>
      <c r="H17" s="16"/>
      <c r="I17" s="15"/>
      <c r="J17" s="15"/>
      <c r="K17" s="15"/>
      <c r="L17" s="15"/>
      <c r="M17" s="15" t="s">
        <v>20</v>
      </c>
      <c r="N17" s="15"/>
      <c r="O17" s="16"/>
      <c r="P17" s="17"/>
      <c r="Q17" s="18"/>
      <c r="R17" s="19"/>
      <c r="S17" s="19"/>
      <c r="T17" s="18"/>
      <c r="U17" s="9"/>
    </row>
    <row r="18" spans="1:21" x14ac:dyDescent="0.25">
      <c r="A18" s="10" t="s">
        <v>52</v>
      </c>
      <c r="B18" s="10" t="s">
        <v>156</v>
      </c>
      <c r="D18" s="11" t="s">
        <v>162</v>
      </c>
      <c r="F18" s="14" t="s">
        <v>39</v>
      </c>
      <c r="G18" s="15">
        <v>50</v>
      </c>
      <c r="H18" s="16"/>
      <c r="I18" s="15"/>
      <c r="J18" s="15"/>
      <c r="K18" s="15"/>
      <c r="L18" s="15"/>
      <c r="M18" s="15" t="s">
        <v>20</v>
      </c>
      <c r="N18" s="15"/>
      <c r="O18" s="16"/>
      <c r="P18" s="17"/>
      <c r="Q18" s="18"/>
      <c r="R18" s="19"/>
      <c r="S18" s="19"/>
      <c r="T18" s="18"/>
      <c r="U18" s="9"/>
    </row>
    <row r="19" spans="1:21" x14ac:dyDescent="0.25">
      <c r="A19" s="10" t="s">
        <v>53</v>
      </c>
      <c r="B19" s="10" t="s">
        <v>182</v>
      </c>
      <c r="D19" s="11">
        <v>42</v>
      </c>
      <c r="F19" s="14" t="s">
        <v>60</v>
      </c>
      <c r="G19" s="15"/>
      <c r="H19" s="16"/>
      <c r="I19" s="15"/>
      <c r="J19" s="15"/>
      <c r="K19" s="15"/>
      <c r="L19" s="15"/>
      <c r="M19" s="15" t="s">
        <v>20</v>
      </c>
      <c r="N19" s="15"/>
      <c r="O19" s="16"/>
      <c r="P19" s="17"/>
      <c r="Q19" s="18"/>
      <c r="R19" s="19"/>
      <c r="S19" s="19"/>
      <c r="T19" s="18"/>
      <c r="U19" s="9"/>
    </row>
    <row r="20" spans="1:21" ht="39.6" x14ac:dyDescent="0.25">
      <c r="A20" s="10" t="s">
        <v>54</v>
      </c>
      <c r="B20" s="10" t="s">
        <v>181</v>
      </c>
      <c r="D20" s="11" t="s">
        <v>164</v>
      </c>
      <c r="F20" s="14" t="s">
        <v>39</v>
      </c>
      <c r="G20" s="15">
        <v>128</v>
      </c>
      <c r="H20" s="16"/>
      <c r="I20" s="15"/>
      <c r="J20" s="15"/>
      <c r="K20" s="15"/>
      <c r="L20" s="15"/>
      <c r="M20" s="15" t="s">
        <v>20</v>
      </c>
      <c r="N20" s="15"/>
      <c r="O20" s="16"/>
      <c r="P20" s="17"/>
      <c r="Q20" s="18"/>
      <c r="R20" s="19"/>
      <c r="S20" s="19"/>
      <c r="T20" s="18"/>
      <c r="U20" s="9"/>
    </row>
    <row r="21" spans="1:21" x14ac:dyDescent="0.25">
      <c r="A21" s="10" t="s">
        <v>55</v>
      </c>
      <c r="B21" s="10" t="s">
        <v>180</v>
      </c>
      <c r="D21" s="11" t="s">
        <v>163</v>
      </c>
      <c r="F21" s="14" t="s">
        <v>61</v>
      </c>
      <c r="G21" s="15"/>
      <c r="H21" s="16"/>
      <c r="I21" s="15"/>
      <c r="J21" s="15"/>
      <c r="K21" s="15"/>
      <c r="L21" s="15"/>
      <c r="M21" s="15" t="s">
        <v>20</v>
      </c>
      <c r="N21" s="15"/>
      <c r="O21" s="16"/>
      <c r="P21" s="17"/>
      <c r="Q21" s="18"/>
      <c r="R21" s="19"/>
      <c r="S21" s="19"/>
      <c r="T21" s="18"/>
      <c r="U21" s="9"/>
    </row>
    <row r="22" spans="1:21" ht="26.4" x14ac:dyDescent="0.25">
      <c r="A22" s="10" t="s">
        <v>56</v>
      </c>
      <c r="B22" s="10" t="s">
        <v>179</v>
      </c>
      <c r="D22" s="11" t="s">
        <v>116</v>
      </c>
      <c r="F22" s="14" t="s">
        <v>42</v>
      </c>
      <c r="G22" s="15"/>
      <c r="H22" s="16"/>
      <c r="I22" s="15"/>
      <c r="J22" s="15"/>
      <c r="K22" s="15"/>
      <c r="L22" s="15"/>
      <c r="M22" s="15" t="s">
        <v>5</v>
      </c>
      <c r="N22" s="15"/>
      <c r="O22" s="16" t="s">
        <v>62</v>
      </c>
      <c r="P22" s="17"/>
      <c r="Q22" s="18"/>
      <c r="R22" s="19"/>
      <c r="S22" s="19"/>
      <c r="T22" s="18"/>
      <c r="U22" s="9"/>
    </row>
    <row r="23" spans="1:21" ht="26.4" x14ac:dyDescent="0.25">
      <c r="A23" s="10" t="s">
        <v>57</v>
      </c>
      <c r="B23" s="10" t="s">
        <v>166</v>
      </c>
      <c r="D23" s="11" t="s">
        <v>158</v>
      </c>
      <c r="F23" s="14" t="s">
        <v>39</v>
      </c>
      <c r="G23" s="15">
        <v>100</v>
      </c>
      <c r="H23" s="16"/>
      <c r="I23" s="15"/>
      <c r="J23" s="15"/>
      <c r="K23" s="15"/>
      <c r="L23" s="15"/>
      <c r="M23" s="15" t="s">
        <v>5</v>
      </c>
      <c r="N23" s="15"/>
      <c r="O23" s="16" t="s">
        <v>63</v>
      </c>
      <c r="P23" s="17"/>
      <c r="Q23" s="18"/>
      <c r="R23" s="19"/>
      <c r="S23" s="19"/>
      <c r="T23" s="18"/>
      <c r="U23" s="9"/>
    </row>
    <row r="24" spans="1:21" x14ac:dyDescent="0.25">
      <c r="A24" s="10" t="s">
        <v>58</v>
      </c>
      <c r="B24" s="10" t="s">
        <v>179</v>
      </c>
      <c r="D24" s="11" t="s">
        <v>116</v>
      </c>
      <c r="E24" s="10" t="s">
        <v>168</v>
      </c>
      <c r="F24" s="14" t="s">
        <v>42</v>
      </c>
      <c r="G24" s="15"/>
      <c r="H24" s="16"/>
      <c r="I24" s="15"/>
      <c r="J24" s="15"/>
      <c r="K24" s="15"/>
      <c r="L24" s="15"/>
      <c r="M24" s="15" t="s">
        <v>20</v>
      </c>
      <c r="N24" s="15"/>
      <c r="O24" s="16"/>
      <c r="P24" s="17"/>
      <c r="Q24" s="18"/>
      <c r="R24" s="19"/>
      <c r="S24" s="19"/>
      <c r="T24" s="18"/>
      <c r="U24" s="9"/>
    </row>
    <row r="25" spans="1:21" ht="26.4" x14ac:dyDescent="0.25">
      <c r="A25" s="10" t="s">
        <v>59</v>
      </c>
      <c r="B25" s="10" t="s">
        <v>167</v>
      </c>
      <c r="D25" s="11" t="s">
        <v>160</v>
      </c>
      <c r="E25" s="10" t="s">
        <v>168</v>
      </c>
      <c r="F25" s="14" t="s">
        <v>39</v>
      </c>
      <c r="G25" s="15">
        <v>100</v>
      </c>
      <c r="H25" s="16"/>
      <c r="I25" s="15"/>
      <c r="J25" s="15"/>
      <c r="K25" s="15"/>
      <c r="L25" s="15"/>
      <c r="M25" s="15" t="s">
        <v>20</v>
      </c>
      <c r="N25" s="15"/>
      <c r="O25" s="16"/>
      <c r="P25" s="17"/>
      <c r="Q25" s="18"/>
      <c r="R25" s="19"/>
      <c r="S25" s="19"/>
      <c r="T25" s="18"/>
      <c r="U25" s="9"/>
    </row>
  </sheetData>
  <mergeCells count="2">
    <mergeCell ref="F8:O8"/>
    <mergeCell ref="P8:T8"/>
  </mergeCells>
  <dataValidations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9">
    <tabColor rgb="FFC0504D"/>
  </sheetPr>
  <dimension ref="A1:U17"/>
  <sheetViews>
    <sheetView workbookViewId="0">
      <selection activeCell="L11" sqref="L11"/>
    </sheetView>
  </sheetViews>
  <sheetFormatPr baseColWidth="10" defaultColWidth="9.21875" defaultRowHeight="13.2" x14ac:dyDescent="0.25"/>
  <cols>
    <col min="1" max="1" width="25" style="10" customWidth="1"/>
    <col min="2" max="2" width="26.5546875" style="10" customWidth="1"/>
    <col min="3" max="3" width="11.5546875" style="10" customWidth="1"/>
    <col min="4" max="4" width="13.5546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0.5546875" style="10" customWidth="1"/>
    <col min="16" max="16" width="10.44140625" style="10" customWidth="1"/>
    <col min="17" max="17" width="12" style="10" bestFit="1" customWidth="1"/>
    <col min="18" max="18" width="13.5546875" style="10" bestFit="1" customWidth="1"/>
    <col min="19" max="19" width="20.5546875" style="10" bestFit="1" customWidth="1"/>
    <col min="20" max="20" width="10.21875" style="10" customWidth="1"/>
    <col min="21" max="16384" width="9.21875" style="10"/>
  </cols>
  <sheetData>
    <row r="1" spans="1:21" x14ac:dyDescent="0.25">
      <c r="A1" s="43" t="s">
        <v>28</v>
      </c>
      <c r="B1" s="5" t="s">
        <v>142</v>
      </c>
      <c r="C1" s="34" t="s">
        <v>312</v>
      </c>
      <c r="D1" s="23"/>
      <c r="E1" s="23"/>
      <c r="F1" s="23"/>
      <c r="G1" s="23"/>
      <c r="H1" s="23"/>
      <c r="I1" s="23"/>
      <c r="J1" s="23"/>
      <c r="K1" s="23"/>
      <c r="L1" s="23"/>
      <c r="M1" s="23"/>
      <c r="N1" s="23"/>
      <c r="O1" s="23"/>
      <c r="P1" s="23"/>
      <c r="Q1" s="23"/>
      <c r="R1" s="23"/>
      <c r="S1" s="23"/>
      <c r="T1" s="23"/>
    </row>
    <row r="2" spans="1:21" x14ac:dyDescent="0.25">
      <c r="A2" s="43" t="s">
        <v>3</v>
      </c>
      <c r="B2" s="25" t="s">
        <v>95</v>
      </c>
      <c r="C2" s="34" t="s">
        <v>313</v>
      </c>
      <c r="D2" s="23"/>
      <c r="E2" s="23"/>
      <c r="F2" s="23"/>
      <c r="G2" s="23"/>
      <c r="H2" s="23"/>
      <c r="I2" s="23"/>
      <c r="J2" s="23"/>
      <c r="K2" s="23"/>
      <c r="L2" s="23"/>
      <c r="M2" s="23"/>
      <c r="N2" s="23"/>
      <c r="O2" s="23"/>
      <c r="P2" s="23"/>
      <c r="Q2" s="23"/>
      <c r="R2" s="23"/>
      <c r="S2" s="23"/>
      <c r="T2" s="23"/>
    </row>
    <row r="3" spans="1:21" s="1" customFormat="1" x14ac:dyDescent="0.25">
      <c r="A3" s="44" t="s">
        <v>29</v>
      </c>
      <c r="B3" s="25" t="s">
        <v>96</v>
      </c>
      <c r="C3" s="35" t="s">
        <v>335</v>
      </c>
      <c r="D3" s="24"/>
      <c r="E3" s="23"/>
      <c r="F3" s="23"/>
      <c r="G3" s="23"/>
      <c r="H3" s="23"/>
      <c r="I3" s="23"/>
      <c r="J3" s="23"/>
      <c r="K3" s="23"/>
      <c r="L3" s="23"/>
      <c r="M3" s="23"/>
      <c r="N3" s="23"/>
      <c r="O3" s="23"/>
      <c r="P3" s="23"/>
      <c r="Q3" s="23"/>
      <c r="R3" s="23"/>
      <c r="S3" s="23"/>
      <c r="T3" s="23"/>
    </row>
    <row r="4" spans="1:21" s="1" customFormat="1" x14ac:dyDescent="0.25">
      <c r="A4" s="44" t="s">
        <v>305</v>
      </c>
      <c r="B4" s="5" t="s">
        <v>346</v>
      </c>
      <c r="C4" s="35" t="s">
        <v>311</v>
      </c>
      <c r="D4" s="24"/>
      <c r="E4" s="23"/>
      <c r="F4" s="23"/>
      <c r="G4" s="23"/>
      <c r="H4" s="23"/>
      <c r="I4" s="23"/>
      <c r="J4" s="23"/>
      <c r="K4" s="23"/>
      <c r="L4" s="23"/>
      <c r="M4" s="23"/>
      <c r="N4" s="23"/>
      <c r="O4" s="23"/>
      <c r="P4" s="23"/>
      <c r="Q4" s="23"/>
      <c r="R4" s="23"/>
      <c r="S4" s="23"/>
      <c r="T4" s="23"/>
    </row>
    <row r="5" spans="1:21" s="1" customFormat="1" x14ac:dyDescent="0.25">
      <c r="A5" s="44" t="s">
        <v>333</v>
      </c>
      <c r="B5" s="7" t="s">
        <v>5</v>
      </c>
      <c r="C5" s="35" t="s">
        <v>334</v>
      </c>
      <c r="D5" s="24"/>
      <c r="E5" s="23"/>
      <c r="F5" s="23"/>
      <c r="G5" s="23"/>
      <c r="H5" s="23"/>
      <c r="I5" s="23"/>
      <c r="J5" s="23"/>
      <c r="K5" s="23"/>
      <c r="L5" s="23"/>
      <c r="M5" s="23"/>
      <c r="N5" s="23"/>
      <c r="O5" s="23"/>
      <c r="P5" s="23"/>
      <c r="Q5" s="23"/>
      <c r="R5" s="23"/>
      <c r="S5" s="23"/>
      <c r="T5" s="23"/>
    </row>
    <row r="6" spans="1:21" s="1" customFormat="1" x14ac:dyDescent="0.25">
      <c r="A6" s="44"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ht="13.5" customHeight="1" x14ac:dyDescent="0.25">
      <c r="A8" s="45"/>
      <c r="B8" s="45"/>
      <c r="C8" s="45"/>
      <c r="D8" s="46"/>
      <c r="E8" s="46"/>
      <c r="F8" s="140" t="s">
        <v>8</v>
      </c>
      <c r="G8" s="141"/>
      <c r="H8" s="141"/>
      <c r="I8" s="141"/>
      <c r="J8" s="141"/>
      <c r="K8" s="141"/>
      <c r="L8" s="141"/>
      <c r="M8" s="141"/>
      <c r="N8" s="141"/>
      <c r="O8" s="142"/>
      <c r="P8" s="143" t="s">
        <v>9</v>
      </c>
      <c r="Q8" s="144"/>
      <c r="R8" s="144"/>
      <c r="S8" s="144"/>
      <c r="T8" s="145"/>
    </row>
    <row r="9" spans="1:21" s="4" customFormat="1" ht="26.25" customHeight="1" x14ac:dyDescent="0.25">
      <c r="A9" s="60" t="s">
        <v>4</v>
      </c>
      <c r="B9" s="60" t="s">
        <v>26</v>
      </c>
      <c r="C9" s="60" t="s">
        <v>7</v>
      </c>
      <c r="D9" s="60" t="s">
        <v>10</v>
      </c>
      <c r="E9" s="60" t="s">
        <v>13</v>
      </c>
      <c r="F9" s="47" t="s">
        <v>11</v>
      </c>
      <c r="G9" s="48" t="s">
        <v>6</v>
      </c>
      <c r="H9" s="48" t="s">
        <v>12</v>
      </c>
      <c r="I9" s="48" t="s">
        <v>87</v>
      </c>
      <c r="J9" s="48" t="s">
        <v>308</v>
      </c>
      <c r="K9" s="48" t="s">
        <v>309</v>
      </c>
      <c r="L9" s="48" t="s">
        <v>14</v>
      </c>
      <c r="M9" s="48" t="s">
        <v>287</v>
      </c>
      <c r="N9" s="48" t="s">
        <v>385</v>
      </c>
      <c r="O9" s="49" t="s">
        <v>15</v>
      </c>
      <c r="P9" s="50" t="s">
        <v>21</v>
      </c>
      <c r="Q9" s="48" t="s">
        <v>22</v>
      </c>
      <c r="R9" s="48" t="s">
        <v>23</v>
      </c>
      <c r="S9" s="48" t="s">
        <v>24</v>
      </c>
      <c r="T9" s="49" t="s">
        <v>16</v>
      </c>
    </row>
    <row r="10" spans="1:21" x14ac:dyDescent="0.25">
      <c r="A10" s="10" t="s">
        <v>46</v>
      </c>
      <c r="D10" s="11">
        <v>1</v>
      </c>
      <c r="F10" s="14" t="s">
        <v>60</v>
      </c>
      <c r="G10" s="15"/>
      <c r="H10" s="16"/>
      <c r="I10" s="15" t="s">
        <v>41</v>
      </c>
      <c r="J10" s="15"/>
      <c r="K10" s="15"/>
      <c r="L10" s="15"/>
      <c r="M10" s="15" t="s">
        <v>5</v>
      </c>
      <c r="N10" s="15"/>
      <c r="O10" s="16"/>
      <c r="P10" s="17"/>
      <c r="Q10" s="18"/>
      <c r="R10" s="19"/>
      <c r="S10" s="19"/>
      <c r="T10" s="18"/>
      <c r="U10" s="9"/>
    </row>
    <row r="11" spans="1:21" x14ac:dyDescent="0.25">
      <c r="A11" s="10" t="s">
        <v>169</v>
      </c>
      <c r="F11" s="14" t="s">
        <v>60</v>
      </c>
      <c r="G11" s="15"/>
      <c r="H11" s="16"/>
      <c r="I11" s="15" t="s">
        <v>67</v>
      </c>
      <c r="J11" s="15"/>
      <c r="K11" s="15"/>
      <c r="L11" s="15" t="s">
        <v>225</v>
      </c>
      <c r="M11" s="15" t="s">
        <v>5</v>
      </c>
      <c r="N11" s="15"/>
      <c r="O11" s="16"/>
      <c r="P11" s="17"/>
      <c r="Q11" s="18"/>
      <c r="R11" s="19"/>
      <c r="S11" s="19"/>
      <c r="T11" s="18"/>
      <c r="U11" s="9"/>
    </row>
    <row r="12" spans="1:21" x14ac:dyDescent="0.25">
      <c r="A12" s="10" t="s">
        <v>97</v>
      </c>
      <c r="F12" s="14" t="s">
        <v>39</v>
      </c>
      <c r="G12" s="15">
        <v>1024</v>
      </c>
      <c r="H12" s="16"/>
      <c r="I12" s="15"/>
      <c r="J12" s="15"/>
      <c r="K12" s="15"/>
      <c r="L12" s="15"/>
      <c r="M12" s="15" t="s">
        <v>5</v>
      </c>
      <c r="N12" s="15"/>
      <c r="O12" s="16"/>
      <c r="P12" s="17"/>
      <c r="Q12" s="18"/>
      <c r="R12" s="19"/>
      <c r="S12" s="19"/>
      <c r="T12" s="18"/>
      <c r="U12" s="9"/>
    </row>
    <row r="13" spans="1:21" x14ac:dyDescent="0.25">
      <c r="A13" s="10" t="s">
        <v>98</v>
      </c>
      <c r="F13" s="14" t="s">
        <v>60</v>
      </c>
      <c r="G13" s="15"/>
      <c r="H13" s="16"/>
      <c r="I13" s="15"/>
      <c r="J13" s="15"/>
      <c r="K13" s="15"/>
      <c r="L13" s="15"/>
      <c r="M13" s="15" t="s">
        <v>5</v>
      </c>
      <c r="N13" s="15"/>
      <c r="O13" s="16"/>
      <c r="P13" s="17"/>
      <c r="Q13" s="18"/>
      <c r="R13" s="19"/>
      <c r="S13" s="19"/>
      <c r="T13" s="18"/>
      <c r="U13" s="9"/>
    </row>
    <row r="14" spans="1:21" x14ac:dyDescent="0.25">
      <c r="A14" s="10" t="s">
        <v>99</v>
      </c>
      <c r="F14" s="14" t="s">
        <v>60</v>
      </c>
      <c r="G14" s="15"/>
      <c r="H14" s="16"/>
      <c r="I14" s="15"/>
      <c r="J14" s="15"/>
      <c r="K14" s="15"/>
      <c r="L14" s="15"/>
      <c r="M14" s="15" t="s">
        <v>5</v>
      </c>
      <c r="N14" s="15"/>
      <c r="O14" s="16"/>
      <c r="P14" s="17"/>
      <c r="Q14" s="18"/>
      <c r="R14" s="19"/>
      <c r="S14" s="19"/>
      <c r="T14" s="18"/>
      <c r="U14" s="9"/>
    </row>
    <row r="15" spans="1:21" x14ac:dyDescent="0.25">
      <c r="A15" s="10" t="s">
        <v>91</v>
      </c>
      <c r="F15" s="14" t="s">
        <v>42</v>
      </c>
      <c r="G15" s="15"/>
      <c r="H15" s="16"/>
      <c r="I15" s="15"/>
      <c r="J15" s="15"/>
      <c r="K15" s="15"/>
      <c r="L15" s="15"/>
      <c r="M15" s="15" t="s">
        <v>20</v>
      </c>
      <c r="N15" s="15"/>
      <c r="O15" s="16"/>
      <c r="P15" s="17"/>
      <c r="Q15" s="18"/>
      <c r="R15" s="19"/>
      <c r="S15" s="19"/>
      <c r="T15" s="18"/>
      <c r="U15" s="9"/>
    </row>
    <row r="16" spans="1:21" x14ac:dyDescent="0.25">
      <c r="A16" s="10" t="s">
        <v>92</v>
      </c>
      <c r="F16" s="14" t="s">
        <v>60</v>
      </c>
      <c r="G16" s="15"/>
      <c r="H16" s="16"/>
      <c r="I16" s="15"/>
      <c r="J16" s="15"/>
      <c r="K16" s="15"/>
      <c r="L16" s="15"/>
      <c r="M16" s="15" t="s">
        <v>20</v>
      </c>
      <c r="N16" s="15"/>
      <c r="O16" s="16"/>
      <c r="P16" s="17"/>
      <c r="Q16" s="18"/>
      <c r="R16" s="19"/>
      <c r="S16" s="19"/>
      <c r="T16" s="18"/>
      <c r="U16" s="9"/>
    </row>
    <row r="17" spans="1:21" x14ac:dyDescent="0.25">
      <c r="A17" s="10" t="s">
        <v>100</v>
      </c>
      <c r="F17" s="14" t="s">
        <v>42</v>
      </c>
      <c r="G17" s="15"/>
      <c r="H17" s="16"/>
      <c r="I17" s="15"/>
      <c r="J17" s="15"/>
      <c r="K17" s="15"/>
      <c r="L17" s="15"/>
      <c r="M17" s="15" t="s">
        <v>20</v>
      </c>
      <c r="N17" s="15"/>
      <c r="O17" s="16"/>
      <c r="P17" s="17"/>
      <c r="Q17" s="18"/>
      <c r="R17" s="19"/>
      <c r="S17" s="19"/>
      <c r="T17" s="18"/>
      <c r="U17" s="9"/>
    </row>
  </sheetData>
  <mergeCells count="2">
    <mergeCell ref="F8:O8"/>
    <mergeCell ref="P8:T8"/>
  </mergeCells>
  <dataValidations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8">
    <tabColor rgb="FFC0504D"/>
  </sheetPr>
  <dimension ref="A1:U17"/>
  <sheetViews>
    <sheetView workbookViewId="0">
      <selection activeCell="B4" sqref="B4"/>
    </sheetView>
  </sheetViews>
  <sheetFormatPr baseColWidth="10" defaultColWidth="9.21875" defaultRowHeight="13.2" x14ac:dyDescent="0.25"/>
  <cols>
    <col min="1" max="1" width="25" style="10" customWidth="1"/>
    <col min="2" max="2" width="26.5546875" style="10" customWidth="1"/>
    <col min="3" max="3" width="11.5546875" style="10" customWidth="1"/>
    <col min="4" max="4" width="13.5546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0.5546875" style="10" customWidth="1"/>
    <col min="16" max="16" width="10.44140625" style="10" customWidth="1"/>
    <col min="17" max="17" width="12" style="10" bestFit="1" customWidth="1"/>
    <col min="18" max="18" width="13.5546875" style="10" bestFit="1" customWidth="1"/>
    <col min="19" max="19" width="20.5546875" style="10" bestFit="1" customWidth="1"/>
    <col min="20" max="20" width="10.21875" style="10" customWidth="1"/>
    <col min="21" max="16384" width="9.21875" style="10"/>
  </cols>
  <sheetData>
    <row r="1" spans="1:21" x14ac:dyDescent="0.25">
      <c r="A1" s="43" t="s">
        <v>28</v>
      </c>
      <c r="B1" s="5" t="s">
        <v>142</v>
      </c>
      <c r="C1" s="34" t="s">
        <v>312</v>
      </c>
      <c r="D1" s="23"/>
      <c r="E1" s="23"/>
      <c r="F1" s="23"/>
      <c r="G1" s="23"/>
      <c r="H1" s="23"/>
      <c r="I1" s="23"/>
      <c r="J1" s="23"/>
      <c r="K1" s="23"/>
      <c r="L1" s="23"/>
      <c r="M1" s="23"/>
      <c r="N1" s="23"/>
      <c r="O1" s="23"/>
      <c r="P1" s="23"/>
      <c r="Q1" s="23"/>
      <c r="R1" s="23"/>
      <c r="S1" s="23"/>
      <c r="T1" s="23"/>
    </row>
    <row r="2" spans="1:21" x14ac:dyDescent="0.25">
      <c r="A2" s="43" t="s">
        <v>3</v>
      </c>
      <c r="B2" s="25" t="s">
        <v>94</v>
      </c>
      <c r="C2" s="34" t="s">
        <v>313</v>
      </c>
      <c r="D2" s="23"/>
      <c r="E2" s="23"/>
      <c r="F2" s="23"/>
      <c r="G2" s="23"/>
      <c r="H2" s="23"/>
      <c r="I2" s="23"/>
      <c r="J2" s="23"/>
      <c r="K2" s="23"/>
      <c r="L2" s="23"/>
      <c r="M2" s="23"/>
      <c r="N2" s="23"/>
      <c r="O2" s="23"/>
      <c r="P2" s="23"/>
      <c r="Q2" s="23"/>
      <c r="R2" s="23"/>
      <c r="S2" s="23"/>
      <c r="T2" s="23"/>
    </row>
    <row r="3" spans="1:21" s="1" customFormat="1" x14ac:dyDescent="0.25">
      <c r="A3" s="44" t="s">
        <v>29</v>
      </c>
      <c r="B3" s="25" t="s">
        <v>387</v>
      </c>
      <c r="C3" s="35" t="s">
        <v>335</v>
      </c>
      <c r="D3" s="24"/>
      <c r="E3" s="23"/>
      <c r="F3" s="23"/>
      <c r="G3" s="23"/>
      <c r="H3" s="23"/>
      <c r="I3" s="23"/>
      <c r="J3" s="23"/>
      <c r="K3" s="23"/>
      <c r="L3" s="23"/>
      <c r="M3" s="23"/>
      <c r="N3" s="23"/>
      <c r="O3" s="23"/>
      <c r="P3" s="23"/>
      <c r="Q3" s="23"/>
      <c r="R3" s="23"/>
      <c r="S3" s="23"/>
      <c r="T3" s="23"/>
    </row>
    <row r="4" spans="1:21" s="1" customFormat="1" x14ac:dyDescent="0.25">
      <c r="A4" s="44" t="s">
        <v>305</v>
      </c>
      <c r="B4" s="5" t="s">
        <v>346</v>
      </c>
      <c r="C4" s="35" t="s">
        <v>311</v>
      </c>
      <c r="D4" s="24"/>
      <c r="E4" s="23"/>
      <c r="F4" s="23"/>
      <c r="G4" s="23"/>
      <c r="H4" s="23"/>
      <c r="I4" s="23"/>
      <c r="J4" s="23"/>
      <c r="K4" s="23"/>
      <c r="L4" s="23"/>
      <c r="M4" s="23"/>
      <c r="N4" s="23"/>
      <c r="O4" s="23"/>
      <c r="P4" s="23"/>
      <c r="Q4" s="23"/>
      <c r="R4" s="23"/>
      <c r="S4" s="23"/>
      <c r="T4" s="23"/>
    </row>
    <row r="5" spans="1:21" s="1" customFormat="1" x14ac:dyDescent="0.25">
      <c r="A5" s="44" t="s">
        <v>333</v>
      </c>
      <c r="B5" s="7" t="s">
        <v>5</v>
      </c>
      <c r="C5" s="35" t="s">
        <v>334</v>
      </c>
      <c r="D5" s="24"/>
      <c r="E5" s="23"/>
      <c r="F5" s="23"/>
      <c r="G5" s="23"/>
      <c r="H5" s="23"/>
      <c r="I5" s="23"/>
      <c r="J5" s="23"/>
      <c r="K5" s="23"/>
      <c r="L5" s="23"/>
      <c r="M5" s="23"/>
      <c r="N5" s="23"/>
      <c r="O5" s="23"/>
      <c r="P5" s="23"/>
      <c r="Q5" s="23"/>
      <c r="R5" s="23"/>
      <c r="S5" s="23"/>
      <c r="T5" s="23"/>
    </row>
    <row r="6" spans="1:21" s="1" customFormat="1" x14ac:dyDescent="0.25">
      <c r="A6" s="44"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ht="13.5" customHeight="1" x14ac:dyDescent="0.25">
      <c r="A8" s="45"/>
      <c r="B8" s="45"/>
      <c r="C8" s="45"/>
      <c r="D8" s="46"/>
      <c r="E8" s="46"/>
      <c r="F8" s="140" t="s">
        <v>8</v>
      </c>
      <c r="G8" s="141"/>
      <c r="H8" s="141"/>
      <c r="I8" s="141"/>
      <c r="J8" s="141"/>
      <c r="K8" s="141"/>
      <c r="L8" s="141"/>
      <c r="M8" s="141"/>
      <c r="N8" s="141"/>
      <c r="O8" s="142"/>
      <c r="P8" s="143" t="s">
        <v>9</v>
      </c>
      <c r="Q8" s="144"/>
      <c r="R8" s="144"/>
      <c r="S8" s="144"/>
      <c r="T8" s="145"/>
    </row>
    <row r="9" spans="1:21" s="4" customFormat="1" ht="26.25" customHeight="1" x14ac:dyDescent="0.25">
      <c r="A9" s="60" t="s">
        <v>4</v>
      </c>
      <c r="B9" s="60" t="s">
        <v>26</v>
      </c>
      <c r="C9" s="60" t="s">
        <v>7</v>
      </c>
      <c r="D9" s="60" t="s">
        <v>10</v>
      </c>
      <c r="E9" s="60" t="s">
        <v>13</v>
      </c>
      <c r="F9" s="47" t="s">
        <v>11</v>
      </c>
      <c r="G9" s="48" t="s">
        <v>6</v>
      </c>
      <c r="H9" s="48" t="s">
        <v>12</v>
      </c>
      <c r="I9" s="48" t="s">
        <v>87</v>
      </c>
      <c r="J9" s="48" t="s">
        <v>308</v>
      </c>
      <c r="K9" s="48" t="s">
        <v>309</v>
      </c>
      <c r="L9" s="48" t="s">
        <v>14</v>
      </c>
      <c r="M9" s="48" t="s">
        <v>287</v>
      </c>
      <c r="N9" s="48" t="s">
        <v>385</v>
      </c>
      <c r="O9" s="49" t="s">
        <v>15</v>
      </c>
      <c r="P9" s="50" t="s">
        <v>21</v>
      </c>
      <c r="Q9" s="48" t="s">
        <v>22</v>
      </c>
      <c r="R9" s="48" t="s">
        <v>23</v>
      </c>
      <c r="S9" s="48" t="s">
        <v>24</v>
      </c>
      <c r="T9" s="49" t="s">
        <v>16</v>
      </c>
    </row>
    <row r="10" spans="1:21" x14ac:dyDescent="0.25">
      <c r="A10" s="10" t="s">
        <v>46</v>
      </c>
      <c r="D10" s="11">
        <v>1</v>
      </c>
      <c r="F10" s="14" t="s">
        <v>60</v>
      </c>
      <c r="G10" s="15"/>
      <c r="H10" s="16"/>
      <c r="I10" s="15" t="s">
        <v>41</v>
      </c>
      <c r="J10" s="15"/>
      <c r="K10" s="15"/>
      <c r="L10" s="15"/>
      <c r="M10" s="15" t="s">
        <v>5</v>
      </c>
      <c r="N10" s="15"/>
      <c r="O10" s="16"/>
      <c r="P10" s="17"/>
      <c r="Q10" s="18"/>
      <c r="R10" s="19"/>
      <c r="S10" s="19"/>
      <c r="T10" s="18"/>
      <c r="U10" s="9"/>
    </row>
    <row r="11" spans="1:21" x14ac:dyDescent="0.25">
      <c r="A11" s="10" t="s">
        <v>169</v>
      </c>
      <c r="F11" s="14" t="s">
        <v>60</v>
      </c>
      <c r="G11" s="15"/>
      <c r="H11" s="16"/>
      <c r="I11" s="15" t="s">
        <v>67</v>
      </c>
      <c r="J11" s="15"/>
      <c r="K11" s="15"/>
      <c r="L11" s="15" t="s">
        <v>225</v>
      </c>
      <c r="M11" s="15" t="s">
        <v>5</v>
      </c>
      <c r="N11" s="15"/>
      <c r="O11" s="16"/>
      <c r="P11" s="17"/>
      <c r="Q11" s="18"/>
      <c r="R11" s="19"/>
      <c r="S11" s="19"/>
      <c r="T11" s="18"/>
      <c r="U11" s="9"/>
    </row>
    <row r="12" spans="1:21" x14ac:dyDescent="0.25">
      <c r="A12" s="10" t="s">
        <v>88</v>
      </c>
      <c r="F12" s="14" t="s">
        <v>39</v>
      </c>
      <c r="G12" s="15">
        <v>1024</v>
      </c>
      <c r="H12" s="16"/>
      <c r="I12" s="15"/>
      <c r="J12" s="15"/>
      <c r="K12" s="15"/>
      <c r="L12" s="15"/>
      <c r="M12" s="15" t="s">
        <v>5</v>
      </c>
      <c r="N12" s="15"/>
      <c r="O12" s="16"/>
      <c r="P12" s="17"/>
      <c r="Q12" s="18"/>
      <c r="R12" s="19"/>
      <c r="S12" s="19"/>
      <c r="T12" s="18"/>
      <c r="U12" s="9"/>
    </row>
    <row r="13" spans="1:21" x14ac:dyDescent="0.25">
      <c r="A13" s="10" t="s">
        <v>89</v>
      </c>
      <c r="F13" s="14" t="s">
        <v>39</v>
      </c>
      <c r="G13" s="15">
        <v>1024</v>
      </c>
      <c r="H13" s="16"/>
      <c r="I13" s="15"/>
      <c r="J13" s="15"/>
      <c r="K13" s="15"/>
      <c r="L13" s="15"/>
      <c r="M13" s="15" t="s">
        <v>5</v>
      </c>
      <c r="N13" s="15"/>
      <c r="O13" s="16"/>
      <c r="P13" s="17"/>
      <c r="Q13" s="18"/>
      <c r="R13" s="19"/>
      <c r="S13" s="19"/>
      <c r="T13" s="18"/>
      <c r="U13" s="9"/>
    </row>
    <row r="14" spans="1:21" x14ac:dyDescent="0.25">
      <c r="A14" s="10" t="s">
        <v>90</v>
      </c>
      <c r="F14" s="14" t="s">
        <v>39</v>
      </c>
      <c r="G14" s="15">
        <v>1024</v>
      </c>
      <c r="H14" s="16"/>
      <c r="I14" s="15"/>
      <c r="J14" s="15"/>
      <c r="K14" s="15"/>
      <c r="L14" s="15"/>
      <c r="M14" s="15" t="s">
        <v>20</v>
      </c>
      <c r="N14" s="15"/>
      <c r="O14" s="16"/>
      <c r="P14" s="17"/>
      <c r="Q14" s="18"/>
      <c r="R14" s="19"/>
      <c r="S14" s="19"/>
      <c r="T14" s="18"/>
      <c r="U14" s="9"/>
    </row>
    <row r="15" spans="1:21" x14ac:dyDescent="0.25">
      <c r="A15" s="10" t="s">
        <v>91</v>
      </c>
      <c r="F15" s="14" t="s">
        <v>42</v>
      </c>
      <c r="G15" s="15"/>
      <c r="H15" s="16"/>
      <c r="I15" s="15"/>
      <c r="J15" s="15"/>
      <c r="K15" s="15"/>
      <c r="L15" s="15"/>
      <c r="M15" s="15" t="s">
        <v>20</v>
      </c>
      <c r="N15" s="15"/>
      <c r="O15" s="16"/>
      <c r="P15" s="17"/>
      <c r="Q15" s="18"/>
      <c r="R15" s="19"/>
      <c r="S15" s="19"/>
      <c r="T15" s="18"/>
      <c r="U15" s="9"/>
    </row>
    <row r="16" spans="1:21" x14ac:dyDescent="0.25">
      <c r="A16" s="10" t="s">
        <v>92</v>
      </c>
      <c r="F16" s="14" t="s">
        <v>103</v>
      </c>
      <c r="G16" s="15"/>
      <c r="H16" s="16"/>
      <c r="I16" s="15"/>
      <c r="J16" s="15"/>
      <c r="K16" s="15"/>
      <c r="L16" s="15"/>
      <c r="M16" s="15" t="s">
        <v>20</v>
      </c>
      <c r="N16" s="15"/>
      <c r="O16" s="16"/>
      <c r="P16" s="17"/>
      <c r="Q16" s="18"/>
      <c r="R16" s="19"/>
      <c r="S16" s="19"/>
      <c r="T16" s="18"/>
      <c r="U16" s="9"/>
    </row>
    <row r="17" spans="1:21" x14ac:dyDescent="0.25">
      <c r="A17" s="10" t="s">
        <v>93</v>
      </c>
      <c r="F17" s="14" t="s">
        <v>42</v>
      </c>
      <c r="G17" s="15"/>
      <c r="H17" s="16"/>
      <c r="I17" s="15"/>
      <c r="J17" s="15"/>
      <c r="K17" s="15"/>
      <c r="L17" s="15"/>
      <c r="M17" s="15" t="s">
        <v>20</v>
      </c>
      <c r="N17" s="15"/>
      <c r="O17" s="16"/>
      <c r="P17" s="17"/>
      <c r="Q17" s="18"/>
      <c r="R17" s="19"/>
      <c r="S17" s="19"/>
      <c r="T17" s="18"/>
      <c r="U17" s="9"/>
    </row>
  </sheetData>
  <mergeCells count="2">
    <mergeCell ref="F8:O8"/>
    <mergeCell ref="P8:T8"/>
  </mergeCells>
  <dataValidations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5">
    <tabColor rgb="FFC0504D"/>
  </sheetPr>
  <dimension ref="A1:U26"/>
  <sheetViews>
    <sheetView workbookViewId="0">
      <selection activeCell="B4" sqref="B4"/>
    </sheetView>
  </sheetViews>
  <sheetFormatPr baseColWidth="10" defaultColWidth="9.21875" defaultRowHeight="13.2" x14ac:dyDescent="0.25"/>
  <cols>
    <col min="1" max="1" width="25" style="10" customWidth="1"/>
    <col min="2" max="2" width="26.5546875" style="10" customWidth="1"/>
    <col min="3" max="3" width="11.5546875" style="10" customWidth="1"/>
    <col min="4" max="4" width="13.5546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0.5546875" style="10" customWidth="1"/>
    <col min="16" max="16" width="10.44140625" style="10" customWidth="1"/>
    <col min="17" max="17" width="12" style="10" bestFit="1" customWidth="1"/>
    <col min="18" max="18" width="13.5546875" style="10" bestFit="1" customWidth="1"/>
    <col min="19" max="19" width="20.5546875" style="10" bestFit="1" customWidth="1"/>
    <col min="20" max="20" width="10.21875" style="10" customWidth="1"/>
    <col min="21" max="16384" width="9.21875" style="10"/>
  </cols>
  <sheetData>
    <row r="1" spans="1:21" x14ac:dyDescent="0.25">
      <c r="A1" s="43" t="s">
        <v>28</v>
      </c>
      <c r="B1" s="5" t="s">
        <v>142</v>
      </c>
      <c r="C1" s="34" t="s">
        <v>312</v>
      </c>
      <c r="D1" s="23"/>
      <c r="E1" s="23"/>
      <c r="F1" s="23"/>
      <c r="G1" s="23"/>
      <c r="H1" s="23"/>
      <c r="I1" s="23"/>
      <c r="J1" s="23"/>
      <c r="K1" s="23"/>
      <c r="L1" s="23"/>
      <c r="M1" s="23"/>
      <c r="N1" s="23"/>
      <c r="O1" s="23"/>
      <c r="P1" s="23"/>
      <c r="Q1" s="23"/>
      <c r="R1" s="23"/>
      <c r="S1" s="23"/>
      <c r="T1" s="23"/>
    </row>
    <row r="2" spans="1:21" x14ac:dyDescent="0.25">
      <c r="A2" s="43" t="s">
        <v>3</v>
      </c>
      <c r="B2" s="25" t="s">
        <v>68</v>
      </c>
      <c r="C2" s="34" t="s">
        <v>313</v>
      </c>
      <c r="D2" s="23"/>
      <c r="E2" s="23"/>
      <c r="F2" s="23"/>
      <c r="G2" s="23"/>
      <c r="H2" s="23"/>
      <c r="I2" s="23"/>
      <c r="J2" s="23"/>
      <c r="K2" s="23"/>
      <c r="L2" s="23"/>
      <c r="M2" s="23"/>
      <c r="N2" s="23"/>
      <c r="O2" s="23"/>
      <c r="P2" s="23"/>
      <c r="Q2" s="23"/>
      <c r="R2" s="23"/>
      <c r="S2" s="23"/>
      <c r="T2" s="23"/>
    </row>
    <row r="3" spans="1:21" s="1" customFormat="1" x14ac:dyDescent="0.25">
      <c r="A3" s="44" t="s">
        <v>29</v>
      </c>
      <c r="B3" s="25" t="s">
        <v>193</v>
      </c>
      <c r="C3" s="35" t="s">
        <v>335</v>
      </c>
      <c r="D3" s="24"/>
      <c r="E3" s="23"/>
      <c r="F3" s="23"/>
      <c r="G3" s="23"/>
      <c r="H3" s="23"/>
      <c r="I3" s="23"/>
      <c r="J3" s="23"/>
      <c r="K3" s="23"/>
      <c r="L3" s="23"/>
      <c r="M3" s="23"/>
      <c r="N3" s="23"/>
      <c r="O3" s="23"/>
      <c r="P3" s="23"/>
      <c r="Q3" s="23"/>
      <c r="R3" s="23"/>
      <c r="S3" s="23"/>
      <c r="T3" s="23"/>
    </row>
    <row r="4" spans="1:21" s="1" customFormat="1" x14ac:dyDescent="0.25">
      <c r="A4" s="44" t="s">
        <v>305</v>
      </c>
      <c r="B4" s="5" t="s">
        <v>346</v>
      </c>
      <c r="C4" s="35" t="s">
        <v>311</v>
      </c>
      <c r="D4" s="24"/>
      <c r="E4" s="23"/>
      <c r="F4" s="23"/>
      <c r="G4" s="23"/>
      <c r="H4" s="23"/>
      <c r="I4" s="23"/>
      <c r="J4" s="23"/>
      <c r="K4" s="23"/>
      <c r="L4" s="23"/>
      <c r="M4" s="23"/>
      <c r="N4" s="23"/>
      <c r="O4" s="23"/>
      <c r="P4" s="23"/>
      <c r="Q4" s="23"/>
      <c r="R4" s="23"/>
      <c r="S4" s="23"/>
      <c r="T4" s="23"/>
    </row>
    <row r="5" spans="1:21" s="1" customFormat="1" x14ac:dyDescent="0.25">
      <c r="A5" s="44" t="s">
        <v>333</v>
      </c>
      <c r="B5" s="7" t="s">
        <v>5</v>
      </c>
      <c r="C5" s="35" t="s">
        <v>334</v>
      </c>
      <c r="D5" s="24"/>
      <c r="E5" s="23"/>
      <c r="F5" s="23"/>
      <c r="G5" s="23"/>
      <c r="H5" s="23"/>
      <c r="I5" s="23"/>
      <c r="J5" s="23"/>
      <c r="K5" s="23"/>
      <c r="L5" s="23"/>
      <c r="M5" s="23"/>
      <c r="N5" s="23"/>
      <c r="O5" s="23"/>
      <c r="P5" s="23"/>
      <c r="Q5" s="23"/>
      <c r="R5" s="23"/>
      <c r="S5" s="23"/>
      <c r="T5" s="23"/>
    </row>
    <row r="6" spans="1:21" s="1" customFormat="1" x14ac:dyDescent="0.25">
      <c r="A6" s="44"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ht="13.5" customHeight="1" x14ac:dyDescent="0.25">
      <c r="A8" s="45"/>
      <c r="B8" s="45"/>
      <c r="C8" s="45"/>
      <c r="D8" s="46"/>
      <c r="E8" s="46"/>
      <c r="F8" s="140" t="s">
        <v>8</v>
      </c>
      <c r="G8" s="141"/>
      <c r="H8" s="141"/>
      <c r="I8" s="141"/>
      <c r="J8" s="141"/>
      <c r="K8" s="141"/>
      <c r="L8" s="141"/>
      <c r="M8" s="141"/>
      <c r="N8" s="141"/>
      <c r="O8" s="142"/>
      <c r="P8" s="143" t="s">
        <v>9</v>
      </c>
      <c r="Q8" s="144"/>
      <c r="R8" s="144"/>
      <c r="S8" s="144"/>
      <c r="T8" s="145"/>
    </row>
    <row r="9" spans="1:21" s="4" customFormat="1" ht="26.25" customHeight="1" x14ac:dyDescent="0.25">
      <c r="A9" s="60" t="s">
        <v>4</v>
      </c>
      <c r="B9" s="60" t="s">
        <v>26</v>
      </c>
      <c r="C9" s="60" t="s">
        <v>7</v>
      </c>
      <c r="D9" s="60" t="s">
        <v>10</v>
      </c>
      <c r="E9" s="60" t="s">
        <v>13</v>
      </c>
      <c r="F9" s="47" t="s">
        <v>11</v>
      </c>
      <c r="G9" s="48" t="s">
        <v>6</v>
      </c>
      <c r="H9" s="48" t="s">
        <v>12</v>
      </c>
      <c r="I9" s="48" t="s">
        <v>87</v>
      </c>
      <c r="J9" s="48" t="s">
        <v>308</v>
      </c>
      <c r="K9" s="48" t="s">
        <v>309</v>
      </c>
      <c r="L9" s="48" t="s">
        <v>14</v>
      </c>
      <c r="M9" s="48" t="s">
        <v>287</v>
      </c>
      <c r="N9" s="48" t="s">
        <v>385</v>
      </c>
      <c r="O9" s="49" t="s">
        <v>15</v>
      </c>
      <c r="P9" s="50" t="s">
        <v>21</v>
      </c>
      <c r="Q9" s="48" t="s">
        <v>22</v>
      </c>
      <c r="R9" s="48" t="s">
        <v>23</v>
      </c>
      <c r="S9" s="48" t="s">
        <v>24</v>
      </c>
      <c r="T9" s="49" t="s">
        <v>16</v>
      </c>
    </row>
    <row r="10" spans="1:21" x14ac:dyDescent="0.25">
      <c r="A10" s="10" t="s">
        <v>46</v>
      </c>
      <c r="B10" s="10" t="s">
        <v>152</v>
      </c>
      <c r="D10" s="11">
        <v>1</v>
      </c>
      <c r="F10" s="14" t="s">
        <v>60</v>
      </c>
      <c r="G10" s="15"/>
      <c r="H10" s="16"/>
      <c r="I10" s="15" t="s">
        <v>41</v>
      </c>
      <c r="J10" s="15"/>
      <c r="K10" s="15"/>
      <c r="L10" s="15"/>
      <c r="M10" s="15" t="s">
        <v>5</v>
      </c>
      <c r="N10" s="15"/>
      <c r="O10" s="16"/>
      <c r="P10" s="17"/>
      <c r="Q10" s="18"/>
      <c r="R10" s="19"/>
      <c r="S10" s="19"/>
      <c r="T10" s="18"/>
      <c r="U10" s="9"/>
    </row>
    <row r="11" spans="1:21" x14ac:dyDescent="0.25">
      <c r="A11" s="10" t="s">
        <v>169</v>
      </c>
      <c r="B11" s="10" t="s">
        <v>177</v>
      </c>
      <c r="D11" s="11">
        <v>1</v>
      </c>
      <c r="F11" s="14" t="s">
        <v>60</v>
      </c>
      <c r="G11" s="15"/>
      <c r="H11" s="16"/>
      <c r="I11" s="15" t="s">
        <v>67</v>
      </c>
      <c r="J11" s="15"/>
      <c r="K11" s="15"/>
      <c r="L11" s="15" t="s">
        <v>225</v>
      </c>
      <c r="M11" s="15" t="s">
        <v>5</v>
      </c>
      <c r="N11" s="15"/>
      <c r="O11" s="16"/>
      <c r="P11" s="17"/>
      <c r="Q11" s="18"/>
      <c r="R11" s="19"/>
      <c r="S11" s="19"/>
      <c r="T11" s="18"/>
      <c r="U11" s="9"/>
    </row>
    <row r="12" spans="1:21" x14ac:dyDescent="0.25">
      <c r="A12" s="10" t="s">
        <v>170</v>
      </c>
      <c r="B12" s="10" t="s">
        <v>178</v>
      </c>
      <c r="D12" s="11">
        <v>1</v>
      </c>
      <c r="F12" s="14" t="s">
        <v>60</v>
      </c>
      <c r="G12" s="15"/>
      <c r="H12" s="16"/>
      <c r="I12" s="15" t="s">
        <v>67</v>
      </c>
      <c r="J12" s="15"/>
      <c r="K12" s="15"/>
      <c r="L12" s="15" t="s">
        <v>226</v>
      </c>
      <c r="M12" s="15" t="s">
        <v>5</v>
      </c>
      <c r="N12" s="15"/>
      <c r="O12" s="16"/>
      <c r="P12" s="17"/>
      <c r="Q12" s="18"/>
      <c r="R12" s="19"/>
      <c r="S12" s="19"/>
      <c r="T12" s="18"/>
      <c r="U12" s="9"/>
    </row>
    <row r="13" spans="1:21" ht="26.4" x14ac:dyDescent="0.25">
      <c r="A13" s="10" t="s">
        <v>9</v>
      </c>
      <c r="B13" s="10" t="s">
        <v>175</v>
      </c>
      <c r="D13" s="11" t="s">
        <v>176</v>
      </c>
      <c r="F13" s="14" t="s">
        <v>39</v>
      </c>
      <c r="G13" s="15">
        <v>5</v>
      </c>
      <c r="H13" s="16"/>
      <c r="I13" s="15"/>
      <c r="J13" s="15"/>
      <c r="K13" s="15"/>
      <c r="L13" s="15"/>
      <c r="M13" s="15" t="s">
        <v>5</v>
      </c>
      <c r="N13" s="15"/>
      <c r="O13" s="16"/>
      <c r="P13" s="17"/>
      <c r="Q13" s="18"/>
      <c r="R13" s="19"/>
      <c r="S13" s="19"/>
      <c r="T13" s="18"/>
      <c r="U13" s="9"/>
    </row>
    <row r="14" spans="1:21" ht="39.6" x14ac:dyDescent="0.25">
      <c r="A14" s="10" t="s">
        <v>64</v>
      </c>
      <c r="B14" s="10" t="s">
        <v>185</v>
      </c>
      <c r="D14" s="11" t="s">
        <v>186</v>
      </c>
      <c r="F14" s="14" t="s">
        <v>39</v>
      </c>
      <c r="G14" s="15">
        <v>128</v>
      </c>
      <c r="H14" s="16"/>
      <c r="I14" s="15"/>
      <c r="J14" s="15"/>
      <c r="K14" s="15"/>
      <c r="L14" s="15"/>
      <c r="M14" s="15" t="s">
        <v>5</v>
      </c>
      <c r="N14" s="15"/>
      <c r="O14" s="16"/>
      <c r="P14" s="17"/>
      <c r="Q14" s="18"/>
      <c r="R14" s="19"/>
      <c r="S14" s="19"/>
      <c r="T14" s="18"/>
      <c r="U14" s="9"/>
    </row>
    <row r="15" spans="1:21" x14ac:dyDescent="0.25">
      <c r="A15" s="10" t="s">
        <v>70</v>
      </c>
      <c r="B15" s="10" t="s">
        <v>203</v>
      </c>
      <c r="D15" s="10" t="s">
        <v>194</v>
      </c>
      <c r="F15" s="14" t="s">
        <v>39</v>
      </c>
      <c r="G15" s="15">
        <v>128</v>
      </c>
      <c r="H15" s="16"/>
      <c r="I15" s="15"/>
      <c r="J15" s="15"/>
      <c r="K15" s="15"/>
      <c r="L15" s="15"/>
      <c r="M15" s="15" t="s">
        <v>20</v>
      </c>
      <c r="N15" s="15"/>
      <c r="O15" s="16"/>
      <c r="P15" s="17"/>
      <c r="Q15" s="18"/>
      <c r="R15" s="19"/>
      <c r="S15" s="19"/>
      <c r="T15" s="18"/>
      <c r="U15" s="9"/>
    </row>
    <row r="16" spans="1:21" x14ac:dyDescent="0.25">
      <c r="A16" s="10" t="s">
        <v>65</v>
      </c>
      <c r="B16" s="10" t="s">
        <v>187</v>
      </c>
      <c r="D16" s="11" t="s">
        <v>111</v>
      </c>
      <c r="F16" s="14" t="s">
        <v>39</v>
      </c>
      <c r="G16" s="15">
        <v>128</v>
      </c>
      <c r="H16" s="16"/>
      <c r="I16" s="15"/>
      <c r="J16" s="15"/>
      <c r="K16" s="15"/>
      <c r="L16" s="15"/>
      <c r="M16" s="15" t="s">
        <v>20</v>
      </c>
      <c r="N16" s="15"/>
      <c r="O16" s="16"/>
      <c r="P16" s="17"/>
      <c r="Q16" s="18"/>
      <c r="R16" s="19"/>
      <c r="S16" s="19"/>
      <c r="T16" s="18"/>
      <c r="U16" s="9"/>
    </row>
    <row r="17" spans="1:21" x14ac:dyDescent="0.25">
      <c r="A17" s="10" t="s">
        <v>66</v>
      </c>
      <c r="B17" s="10" t="s">
        <v>188</v>
      </c>
      <c r="D17" s="11" t="s">
        <v>190</v>
      </c>
      <c r="F17" s="14" t="s">
        <v>39</v>
      </c>
      <c r="G17" s="15" t="s">
        <v>40</v>
      </c>
      <c r="H17" s="16"/>
      <c r="I17" s="15"/>
      <c r="J17" s="15"/>
      <c r="K17" s="15"/>
      <c r="L17" s="15"/>
      <c r="M17" s="15" t="s">
        <v>5</v>
      </c>
      <c r="N17" s="15"/>
      <c r="O17" s="16"/>
      <c r="P17" s="17"/>
      <c r="Q17" s="18"/>
      <c r="R17" s="19"/>
      <c r="S17" s="19"/>
      <c r="T17" s="18"/>
      <c r="U17" s="9"/>
    </row>
    <row r="18" spans="1:21" x14ac:dyDescent="0.25">
      <c r="A18" s="10" t="s">
        <v>7</v>
      </c>
      <c r="B18" s="10" t="s">
        <v>189</v>
      </c>
      <c r="F18" s="14" t="s">
        <v>39</v>
      </c>
      <c r="G18" s="15" t="s">
        <v>40</v>
      </c>
      <c r="H18" s="16"/>
      <c r="I18" s="15"/>
      <c r="J18" s="15"/>
      <c r="K18" s="15"/>
      <c r="L18" s="15"/>
      <c r="M18" s="15" t="s">
        <v>20</v>
      </c>
      <c r="N18" s="15"/>
      <c r="O18" s="16"/>
      <c r="P18" s="17"/>
      <c r="Q18" s="18"/>
      <c r="R18" s="19"/>
      <c r="S18" s="19"/>
      <c r="T18" s="18"/>
      <c r="U18" s="9"/>
    </row>
    <row r="19" spans="1:21" ht="52.8" x14ac:dyDescent="0.25">
      <c r="A19" s="10" t="s">
        <v>191</v>
      </c>
      <c r="B19" s="10" t="s">
        <v>195</v>
      </c>
      <c r="D19" s="11" t="s">
        <v>196</v>
      </c>
      <c r="F19" s="14" t="s">
        <v>39</v>
      </c>
      <c r="G19" s="15">
        <v>100</v>
      </c>
      <c r="H19" s="16"/>
      <c r="I19" s="15"/>
      <c r="J19" s="15"/>
      <c r="K19" s="15"/>
      <c r="L19" s="15"/>
      <c r="M19" s="15" t="s">
        <v>20</v>
      </c>
      <c r="N19" s="15"/>
      <c r="O19" s="16"/>
      <c r="P19" s="17"/>
      <c r="Q19" s="18"/>
      <c r="R19" s="19"/>
      <c r="S19" s="19"/>
      <c r="T19" s="18"/>
      <c r="U19" s="9"/>
    </row>
    <row r="20" spans="1:21" x14ac:dyDescent="0.25">
      <c r="A20" s="10" t="s">
        <v>192</v>
      </c>
      <c r="B20" s="10" t="s">
        <v>197</v>
      </c>
      <c r="D20" s="11">
        <v>0</v>
      </c>
      <c r="F20" s="14" t="s">
        <v>60</v>
      </c>
      <c r="G20" s="15"/>
      <c r="H20" s="16"/>
      <c r="I20" s="15"/>
      <c r="J20" s="15"/>
      <c r="K20" s="15"/>
      <c r="L20" s="15"/>
      <c r="M20" s="15" t="s">
        <v>20</v>
      </c>
      <c r="N20" s="15"/>
      <c r="O20" s="16"/>
      <c r="P20" s="17"/>
      <c r="Q20" s="18"/>
      <c r="R20" s="19"/>
      <c r="S20" s="19"/>
      <c r="T20" s="18"/>
      <c r="U20" s="9"/>
    </row>
    <row r="21" spans="1:21" ht="52.8" x14ac:dyDescent="0.25">
      <c r="A21" s="10" t="s">
        <v>54</v>
      </c>
      <c r="B21" s="10" t="s">
        <v>172</v>
      </c>
      <c r="D21" s="11" t="s">
        <v>164</v>
      </c>
      <c r="F21" s="14" t="s">
        <v>39</v>
      </c>
      <c r="G21" s="15">
        <v>100</v>
      </c>
      <c r="H21" s="16"/>
      <c r="I21" s="15"/>
      <c r="J21" s="15"/>
      <c r="K21" s="15"/>
      <c r="L21" s="15"/>
      <c r="M21" s="15" t="s">
        <v>5</v>
      </c>
      <c r="N21" s="15"/>
      <c r="O21" s="16"/>
      <c r="P21" s="17"/>
      <c r="Q21" s="18"/>
      <c r="R21" s="19"/>
      <c r="S21" s="19"/>
      <c r="T21" s="18"/>
      <c r="U21" s="9"/>
    </row>
    <row r="22" spans="1:21" x14ac:dyDescent="0.25">
      <c r="A22" s="10" t="s">
        <v>55</v>
      </c>
      <c r="B22" s="10" t="s">
        <v>171</v>
      </c>
      <c r="D22" s="11" t="s">
        <v>163</v>
      </c>
      <c r="F22" s="14" t="s">
        <v>61</v>
      </c>
      <c r="G22" s="15"/>
      <c r="H22" s="16"/>
      <c r="I22" s="15"/>
      <c r="J22" s="15"/>
      <c r="K22" s="15"/>
      <c r="L22" s="15"/>
      <c r="M22" s="15" t="s">
        <v>5</v>
      </c>
      <c r="N22" s="15"/>
      <c r="O22" s="16"/>
      <c r="P22" s="17"/>
      <c r="Q22" s="18"/>
      <c r="R22" s="19"/>
      <c r="S22" s="19"/>
      <c r="T22" s="18"/>
      <c r="U22" s="9"/>
    </row>
    <row r="23" spans="1:21" ht="26.4" x14ac:dyDescent="0.25">
      <c r="A23" s="10" t="s">
        <v>56</v>
      </c>
      <c r="B23" s="10" t="s">
        <v>165</v>
      </c>
      <c r="D23" s="11" t="s">
        <v>116</v>
      </c>
      <c r="F23" s="14" t="s">
        <v>42</v>
      </c>
      <c r="G23" s="15"/>
      <c r="H23" s="16"/>
      <c r="I23" s="15"/>
      <c r="J23" s="15"/>
      <c r="K23" s="15"/>
      <c r="L23" s="15"/>
      <c r="M23" s="15" t="s">
        <v>5</v>
      </c>
      <c r="N23" s="15"/>
      <c r="O23" s="16" t="s">
        <v>62</v>
      </c>
      <c r="P23" s="17"/>
      <c r="Q23" s="18"/>
      <c r="R23" s="19"/>
      <c r="S23" s="19"/>
      <c r="T23" s="18"/>
      <c r="U23" s="9"/>
    </row>
    <row r="24" spans="1:21" ht="26.4" x14ac:dyDescent="0.25">
      <c r="A24" s="10" t="s">
        <v>57</v>
      </c>
      <c r="B24" s="10" t="s">
        <v>166</v>
      </c>
      <c r="D24" s="11" t="s">
        <v>158</v>
      </c>
      <c r="F24" s="14" t="s">
        <v>39</v>
      </c>
      <c r="G24" s="15">
        <v>100</v>
      </c>
      <c r="H24" s="16"/>
      <c r="I24" s="15"/>
      <c r="J24" s="15"/>
      <c r="K24" s="15"/>
      <c r="L24" s="15"/>
      <c r="M24" s="15" t="s">
        <v>5</v>
      </c>
      <c r="N24" s="15"/>
      <c r="O24" s="16" t="s">
        <v>63</v>
      </c>
      <c r="P24" s="17"/>
      <c r="Q24" s="18"/>
      <c r="R24" s="19"/>
      <c r="S24" s="19"/>
      <c r="T24" s="18"/>
      <c r="U24" s="9"/>
    </row>
    <row r="25" spans="1:21" ht="26.4" x14ac:dyDescent="0.25">
      <c r="A25" s="10" t="s">
        <v>58</v>
      </c>
      <c r="B25" s="10" t="s">
        <v>179</v>
      </c>
      <c r="D25" s="11" t="s">
        <v>116</v>
      </c>
      <c r="E25" s="10" t="s">
        <v>168</v>
      </c>
      <c r="F25" s="14" t="s">
        <v>42</v>
      </c>
      <c r="G25" s="15"/>
      <c r="H25" s="16"/>
      <c r="I25" s="15"/>
      <c r="J25" s="15"/>
      <c r="K25" s="15"/>
      <c r="L25" s="15"/>
      <c r="M25" s="15" t="s">
        <v>20</v>
      </c>
      <c r="N25" s="15"/>
      <c r="O25" s="16"/>
      <c r="P25" s="17"/>
      <c r="Q25" s="18"/>
      <c r="R25" s="19"/>
      <c r="S25" s="19"/>
      <c r="T25" s="18"/>
      <c r="U25" s="9"/>
    </row>
    <row r="26" spans="1:21" ht="26.4" x14ac:dyDescent="0.25">
      <c r="A26" s="10" t="s">
        <v>59</v>
      </c>
      <c r="B26" s="10" t="s">
        <v>167</v>
      </c>
      <c r="D26" s="11" t="s">
        <v>160</v>
      </c>
      <c r="E26" s="10" t="s">
        <v>168</v>
      </c>
      <c r="F26" s="14" t="s">
        <v>39</v>
      </c>
      <c r="G26" s="15">
        <v>128</v>
      </c>
      <c r="H26" s="16"/>
      <c r="I26" s="15"/>
      <c r="J26" s="15"/>
      <c r="K26" s="15"/>
      <c r="L26" s="15"/>
      <c r="M26" s="15" t="s">
        <v>20</v>
      </c>
      <c r="N26" s="15"/>
      <c r="O26" s="16"/>
      <c r="P26" s="17"/>
      <c r="Q26" s="18"/>
      <c r="R26" s="19"/>
      <c r="S26" s="19"/>
      <c r="T26" s="18"/>
      <c r="U26" s="9"/>
    </row>
  </sheetData>
  <mergeCells count="2">
    <mergeCell ref="F8:O8"/>
    <mergeCell ref="P8:T8"/>
  </mergeCells>
  <dataValidations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4">
    <tabColor rgb="FF9BBB59"/>
  </sheetPr>
  <dimension ref="A1:U27"/>
  <sheetViews>
    <sheetView workbookViewId="0">
      <selection activeCell="B5" sqref="B5"/>
    </sheetView>
  </sheetViews>
  <sheetFormatPr baseColWidth="10" defaultColWidth="9.21875" defaultRowHeight="13.2" x14ac:dyDescent="0.25"/>
  <cols>
    <col min="1" max="1" width="25" style="10" customWidth="1"/>
    <col min="2" max="2" width="26.5546875" style="10" customWidth="1"/>
    <col min="3" max="3" width="11.5546875" style="10" customWidth="1"/>
    <col min="4" max="4" width="24.21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21.5546875" style="10" bestFit="1" customWidth="1"/>
    <col min="13" max="14" width="7" style="10" customWidth="1"/>
    <col min="15" max="15" width="10.5546875" style="10" customWidth="1"/>
    <col min="16" max="16" width="10.44140625" style="10" customWidth="1"/>
    <col min="17" max="17" width="12" style="10" bestFit="1" customWidth="1"/>
    <col min="18" max="18" width="15.5546875" style="10" bestFit="1" customWidth="1"/>
    <col min="19" max="19" width="20.5546875" style="10" bestFit="1" customWidth="1"/>
    <col min="20" max="20" width="14.5546875" style="10" bestFit="1" customWidth="1"/>
    <col min="21" max="16384" width="9.21875" style="10"/>
  </cols>
  <sheetData>
    <row r="1" spans="1:21" x14ac:dyDescent="0.25">
      <c r="A1" s="58" t="s">
        <v>28</v>
      </c>
      <c r="B1" s="5" t="s">
        <v>146</v>
      </c>
      <c r="C1" s="34" t="s">
        <v>312</v>
      </c>
    </row>
    <row r="2" spans="1:21" x14ac:dyDescent="0.25">
      <c r="A2" s="58" t="s">
        <v>3</v>
      </c>
      <c r="B2" s="5" t="s">
        <v>234</v>
      </c>
      <c r="C2" s="34" t="s">
        <v>313</v>
      </c>
    </row>
    <row r="3" spans="1:21" s="1" customFormat="1" x14ac:dyDescent="0.25">
      <c r="A3" s="59" t="s">
        <v>29</v>
      </c>
      <c r="B3" s="1" t="s">
        <v>262</v>
      </c>
      <c r="C3" s="35" t="s">
        <v>335</v>
      </c>
      <c r="D3" s="2"/>
    </row>
    <row r="4" spans="1:21" s="1" customFormat="1" x14ac:dyDescent="0.25">
      <c r="A4" s="59" t="s">
        <v>305</v>
      </c>
      <c r="B4" s="5" t="s">
        <v>346</v>
      </c>
      <c r="C4" s="35" t="s">
        <v>311</v>
      </c>
      <c r="D4" s="2"/>
    </row>
    <row r="5" spans="1:21" s="1" customFormat="1" x14ac:dyDescent="0.25">
      <c r="A5" s="59" t="s">
        <v>333</v>
      </c>
      <c r="B5" s="7" t="s">
        <v>5</v>
      </c>
      <c r="C5" s="35" t="s">
        <v>334</v>
      </c>
      <c r="D5" s="2"/>
    </row>
    <row r="6" spans="1:21" s="1" customFormat="1" x14ac:dyDescent="0.25">
      <c r="A6" s="59" t="s">
        <v>31</v>
      </c>
      <c r="B6" s="12"/>
      <c r="C6" s="12"/>
      <c r="D6" s="2"/>
    </row>
    <row r="7" spans="1:21" x14ac:dyDescent="0.25">
      <c r="A7" s="31" t="s">
        <v>307</v>
      </c>
    </row>
    <row r="8" spans="1:21" s="4" customFormat="1" ht="13.5" customHeight="1" x14ac:dyDescent="0.25">
      <c r="A8" s="51"/>
      <c r="B8" s="51"/>
      <c r="C8" s="51"/>
      <c r="D8" s="52"/>
      <c r="E8" s="52"/>
      <c r="F8" s="146" t="s">
        <v>8</v>
      </c>
      <c r="G8" s="147"/>
      <c r="H8" s="147"/>
      <c r="I8" s="147"/>
      <c r="J8" s="147"/>
      <c r="K8" s="147"/>
      <c r="L8" s="147"/>
      <c r="M8" s="147"/>
      <c r="N8" s="147"/>
      <c r="O8" s="148"/>
      <c r="P8" s="149" t="s">
        <v>9</v>
      </c>
      <c r="Q8" s="150"/>
      <c r="R8" s="150"/>
      <c r="S8" s="150"/>
      <c r="T8" s="151"/>
    </row>
    <row r="9" spans="1:21" s="4" customFormat="1" ht="26.1" customHeight="1" x14ac:dyDescent="0.25">
      <c r="A9" s="53" t="s">
        <v>4</v>
      </c>
      <c r="B9" s="53" t="s">
        <v>26</v>
      </c>
      <c r="C9" s="53" t="s">
        <v>7</v>
      </c>
      <c r="D9" s="53" t="s">
        <v>10</v>
      </c>
      <c r="E9" s="53" t="s">
        <v>13</v>
      </c>
      <c r="F9" s="54" t="s">
        <v>11</v>
      </c>
      <c r="G9" s="55" t="s">
        <v>6</v>
      </c>
      <c r="H9" s="55" t="s">
        <v>12</v>
      </c>
      <c r="I9" s="55" t="s">
        <v>87</v>
      </c>
      <c r="J9" s="55" t="s">
        <v>308</v>
      </c>
      <c r="K9" s="55" t="s">
        <v>309</v>
      </c>
      <c r="L9" s="55" t="s">
        <v>14</v>
      </c>
      <c r="M9" s="55" t="s">
        <v>287</v>
      </c>
      <c r="N9" s="55" t="s">
        <v>385</v>
      </c>
      <c r="O9" s="56" t="s">
        <v>15</v>
      </c>
      <c r="P9" s="57" t="s">
        <v>21</v>
      </c>
      <c r="Q9" s="55" t="s">
        <v>22</v>
      </c>
      <c r="R9" s="55" t="s">
        <v>23</v>
      </c>
      <c r="S9" s="55" t="s">
        <v>24</v>
      </c>
      <c r="T9" s="56" t="s">
        <v>16</v>
      </c>
    </row>
    <row r="10" spans="1:21" x14ac:dyDescent="0.25">
      <c r="A10" s="10" t="s">
        <v>46</v>
      </c>
      <c r="B10" s="10" t="s">
        <v>152</v>
      </c>
      <c r="F10" s="14" t="s">
        <v>60</v>
      </c>
      <c r="G10" s="15"/>
      <c r="H10" s="16"/>
      <c r="I10" s="15" t="s">
        <v>41</v>
      </c>
      <c r="J10" s="15"/>
      <c r="K10" s="15"/>
      <c r="L10" s="15"/>
      <c r="M10" s="15" t="s">
        <v>5</v>
      </c>
      <c r="N10" s="15"/>
      <c r="O10" s="16"/>
      <c r="P10" s="17"/>
      <c r="Q10" s="18"/>
      <c r="R10" s="19"/>
      <c r="S10" s="19"/>
      <c r="T10" s="18"/>
      <c r="U10" s="9"/>
    </row>
    <row r="11" spans="1:21" x14ac:dyDescent="0.25">
      <c r="A11" s="10" t="s">
        <v>237</v>
      </c>
      <c r="B11" s="10" t="s">
        <v>261</v>
      </c>
      <c r="F11" s="14" t="s">
        <v>39</v>
      </c>
      <c r="G11" s="15">
        <v>128</v>
      </c>
      <c r="H11" s="16"/>
      <c r="I11" s="15"/>
      <c r="J11" s="15"/>
      <c r="K11" s="15"/>
      <c r="L11" s="15"/>
      <c r="M11" s="15" t="s">
        <v>5</v>
      </c>
      <c r="N11" s="15"/>
      <c r="O11" s="16"/>
      <c r="P11" s="17"/>
      <c r="Q11" s="18"/>
      <c r="R11" s="19"/>
      <c r="S11" s="19"/>
      <c r="T11" s="18"/>
      <c r="U11" s="9"/>
    </row>
    <row r="12" spans="1:21" ht="198" x14ac:dyDescent="0.25">
      <c r="A12" s="10" t="s">
        <v>72</v>
      </c>
      <c r="B12" s="10" t="s">
        <v>263</v>
      </c>
      <c r="C12" s="11" t="s">
        <v>264</v>
      </c>
      <c r="D12" s="11" t="s">
        <v>265</v>
      </c>
      <c r="F12" s="14" t="s">
        <v>86</v>
      </c>
      <c r="G12" s="15">
        <v>1</v>
      </c>
      <c r="H12" s="16"/>
      <c r="I12" s="15"/>
      <c r="J12" s="15"/>
      <c r="K12" s="15"/>
      <c r="L12" s="15"/>
      <c r="M12" s="15" t="s">
        <v>5</v>
      </c>
      <c r="N12" s="15"/>
      <c r="O12" s="16"/>
      <c r="P12" s="17"/>
      <c r="Q12" s="18"/>
      <c r="R12" s="19"/>
      <c r="S12" s="19"/>
      <c r="T12" s="18"/>
      <c r="U12" s="9"/>
    </row>
    <row r="13" spans="1:21" x14ac:dyDescent="0.25">
      <c r="A13" s="10" t="s">
        <v>70</v>
      </c>
      <c r="B13" s="10" t="s">
        <v>266</v>
      </c>
      <c r="C13" s="10" t="s">
        <v>267</v>
      </c>
      <c r="F13" s="14" t="s">
        <v>39</v>
      </c>
      <c r="G13" s="15">
        <v>128</v>
      </c>
      <c r="H13" s="16"/>
      <c r="I13" s="15"/>
      <c r="J13" s="15"/>
      <c r="K13" s="15"/>
      <c r="L13" s="15"/>
      <c r="M13" s="15" t="s">
        <v>20</v>
      </c>
      <c r="N13" s="15"/>
      <c r="O13" s="16"/>
      <c r="P13" s="17"/>
      <c r="Q13" s="18"/>
      <c r="R13" s="19"/>
      <c r="S13" s="19"/>
      <c r="T13" s="18"/>
      <c r="U13" s="9"/>
    </row>
    <row r="14" spans="1:21" x14ac:dyDescent="0.25">
      <c r="A14" s="10" t="s">
        <v>65</v>
      </c>
      <c r="B14" s="10" t="s">
        <v>268</v>
      </c>
      <c r="F14" s="14" t="s">
        <v>39</v>
      </c>
      <c r="G14" s="15" t="s">
        <v>40</v>
      </c>
      <c r="H14" s="16"/>
      <c r="I14" s="15"/>
      <c r="J14" s="15"/>
      <c r="K14" s="15"/>
      <c r="L14" s="15"/>
      <c r="M14" s="15" t="s">
        <v>5</v>
      </c>
      <c r="N14" s="15"/>
      <c r="O14" s="16"/>
      <c r="P14" s="17"/>
      <c r="Q14" s="18"/>
      <c r="R14" s="19"/>
      <c r="S14" s="19"/>
      <c r="T14" s="18"/>
      <c r="U14" s="9"/>
    </row>
    <row r="15" spans="1:21" x14ac:dyDescent="0.25">
      <c r="A15" s="10" t="s">
        <v>66</v>
      </c>
      <c r="B15" s="10" t="s">
        <v>269</v>
      </c>
      <c r="F15" s="14" t="s">
        <v>39</v>
      </c>
      <c r="G15" s="15" t="s">
        <v>40</v>
      </c>
      <c r="H15" s="16"/>
      <c r="I15" s="15"/>
      <c r="J15" s="15"/>
      <c r="K15" s="15"/>
      <c r="L15" s="15"/>
      <c r="M15" s="15" t="s">
        <v>5</v>
      </c>
      <c r="N15" s="15"/>
      <c r="O15" s="16"/>
      <c r="P15" s="17"/>
      <c r="Q15" s="18"/>
      <c r="R15" s="19"/>
      <c r="S15" s="19"/>
      <c r="T15" s="18"/>
      <c r="U15" s="9"/>
    </row>
    <row r="16" spans="1:21" x14ac:dyDescent="0.25">
      <c r="A16" s="10" t="s">
        <v>74</v>
      </c>
      <c r="B16" s="10" t="s">
        <v>270</v>
      </c>
      <c r="F16" s="14" t="s">
        <v>39</v>
      </c>
      <c r="G16" s="15">
        <v>10</v>
      </c>
      <c r="H16" s="16"/>
      <c r="I16" s="15"/>
      <c r="J16" s="15"/>
      <c r="K16" s="15"/>
      <c r="L16" s="15"/>
      <c r="M16" s="15" t="s">
        <v>5</v>
      </c>
      <c r="N16" s="15"/>
      <c r="O16" s="16"/>
      <c r="P16" s="17"/>
      <c r="Q16" s="18"/>
      <c r="R16" s="19"/>
      <c r="S16" s="19"/>
      <c r="T16" s="18"/>
      <c r="U16" s="9"/>
    </row>
    <row r="17" spans="1:21" x14ac:dyDescent="0.25">
      <c r="A17" s="10" t="s">
        <v>75</v>
      </c>
      <c r="B17" s="10" t="s">
        <v>271</v>
      </c>
      <c r="F17" s="14" t="s">
        <v>39</v>
      </c>
      <c r="G17" s="15">
        <v>64</v>
      </c>
      <c r="H17" s="16"/>
      <c r="I17" s="15"/>
      <c r="J17" s="15"/>
      <c r="K17" s="15"/>
      <c r="L17" s="15"/>
      <c r="M17" s="15" t="s">
        <v>5</v>
      </c>
      <c r="N17" s="15"/>
      <c r="O17" s="16"/>
      <c r="P17" s="17"/>
      <c r="Q17" s="18"/>
      <c r="R17" s="19"/>
      <c r="S17" s="19"/>
      <c r="T17" s="18"/>
      <c r="U17" s="9"/>
    </row>
    <row r="18" spans="1:21" x14ac:dyDescent="0.25">
      <c r="A18" s="10" t="s">
        <v>238</v>
      </c>
      <c r="B18" s="10" t="s">
        <v>272</v>
      </c>
      <c r="E18" s="10" t="s">
        <v>275</v>
      </c>
      <c r="F18" s="14" t="s">
        <v>39</v>
      </c>
      <c r="G18" s="15">
        <v>64</v>
      </c>
      <c r="H18" s="16"/>
      <c r="I18" s="15"/>
      <c r="J18" s="15"/>
      <c r="K18" s="15"/>
      <c r="L18" s="15"/>
      <c r="M18" s="15" t="s">
        <v>5</v>
      </c>
      <c r="N18" s="15"/>
      <c r="O18" s="16"/>
      <c r="P18" s="17"/>
      <c r="Q18" s="18"/>
      <c r="R18" s="19"/>
      <c r="S18" s="19"/>
      <c r="T18" s="18"/>
      <c r="U18" s="9"/>
    </row>
    <row r="19" spans="1:21" x14ac:dyDescent="0.25">
      <c r="A19" s="10" t="s">
        <v>239</v>
      </c>
      <c r="B19" s="10" t="s">
        <v>273</v>
      </c>
      <c r="E19" s="10" t="s">
        <v>275</v>
      </c>
      <c r="F19" s="14" t="s">
        <v>39</v>
      </c>
      <c r="G19" s="15">
        <v>64</v>
      </c>
      <c r="H19" s="16"/>
      <c r="I19" s="15"/>
      <c r="J19" s="15"/>
      <c r="K19" s="15"/>
      <c r="L19" s="15"/>
      <c r="M19" s="15" t="s">
        <v>20</v>
      </c>
      <c r="N19" s="15"/>
      <c r="O19" s="16"/>
      <c r="P19" s="17"/>
      <c r="Q19" s="18"/>
      <c r="R19" s="19"/>
      <c r="S19" s="19"/>
      <c r="T19" s="18"/>
      <c r="U19" s="9"/>
    </row>
    <row r="20" spans="1:21" x14ac:dyDescent="0.25">
      <c r="A20" s="10" t="s">
        <v>240</v>
      </c>
      <c r="B20" s="10" t="s">
        <v>274</v>
      </c>
      <c r="E20" s="10" t="s">
        <v>275</v>
      </c>
      <c r="F20" s="14" t="s">
        <v>39</v>
      </c>
      <c r="G20" s="15">
        <v>64</v>
      </c>
      <c r="H20" s="16"/>
      <c r="I20" s="15"/>
      <c r="J20" s="15"/>
      <c r="K20" s="15"/>
      <c r="L20" s="15"/>
      <c r="M20" s="15" t="s">
        <v>20</v>
      </c>
      <c r="N20" s="15"/>
      <c r="O20" s="16"/>
      <c r="P20" s="17"/>
      <c r="Q20" s="18"/>
      <c r="R20" s="19"/>
      <c r="S20" s="19"/>
      <c r="T20" s="18"/>
      <c r="U20" s="9"/>
    </row>
    <row r="21" spans="1:21" x14ac:dyDescent="0.25">
      <c r="A21" s="10" t="s">
        <v>241</v>
      </c>
      <c r="B21" s="10" t="s">
        <v>276</v>
      </c>
      <c r="F21" s="14" t="s">
        <v>39</v>
      </c>
      <c r="G21" s="15">
        <v>1000</v>
      </c>
      <c r="H21" s="16"/>
      <c r="I21" s="15"/>
      <c r="J21" s="15"/>
      <c r="K21" s="15"/>
      <c r="L21" s="15"/>
      <c r="M21" s="15" t="s">
        <v>5</v>
      </c>
      <c r="N21" s="15"/>
      <c r="O21" s="16"/>
      <c r="P21" s="17"/>
      <c r="Q21" s="18"/>
      <c r="R21" s="19"/>
      <c r="S21" s="19"/>
      <c r="T21" s="18"/>
      <c r="U21" s="9"/>
    </row>
    <row r="22" spans="1:21" x14ac:dyDescent="0.25">
      <c r="A22" s="10" t="s">
        <v>246</v>
      </c>
      <c r="B22" s="10" t="s">
        <v>278</v>
      </c>
      <c r="F22" s="14" t="s">
        <v>39</v>
      </c>
      <c r="G22" s="15">
        <v>256</v>
      </c>
      <c r="H22" s="16"/>
      <c r="I22" s="15"/>
      <c r="J22" s="15"/>
      <c r="K22" s="15"/>
      <c r="L22" s="15"/>
      <c r="M22" s="15" t="s">
        <v>5</v>
      </c>
      <c r="N22" s="15"/>
      <c r="O22" s="16"/>
      <c r="P22" s="17"/>
      <c r="Q22" s="18"/>
      <c r="R22" s="19"/>
      <c r="S22" s="19"/>
      <c r="T22" s="18"/>
      <c r="U22" s="9"/>
    </row>
    <row r="23" spans="1:21" x14ac:dyDescent="0.25">
      <c r="A23" s="10" t="s">
        <v>242</v>
      </c>
      <c r="B23" s="10" t="s">
        <v>279</v>
      </c>
      <c r="F23" s="14" t="s">
        <v>247</v>
      </c>
      <c r="G23" s="15">
        <v>10</v>
      </c>
      <c r="H23" s="16"/>
      <c r="I23" s="15"/>
      <c r="J23" s="15"/>
      <c r="K23" s="15"/>
      <c r="L23" s="15"/>
      <c r="M23" s="15" t="s">
        <v>20</v>
      </c>
      <c r="N23" s="15"/>
      <c r="O23" s="16"/>
      <c r="P23" s="17"/>
      <c r="Q23" s="18"/>
      <c r="R23" s="19"/>
      <c r="S23" s="19"/>
      <c r="T23" s="18"/>
      <c r="U23" s="9"/>
    </row>
    <row r="24" spans="1:21" x14ac:dyDescent="0.25">
      <c r="A24" s="10" t="s">
        <v>243</v>
      </c>
      <c r="B24" s="10" t="s">
        <v>277</v>
      </c>
      <c r="F24" s="14" t="s">
        <v>39</v>
      </c>
      <c r="G24" s="15" t="s">
        <v>40</v>
      </c>
      <c r="H24" s="16"/>
      <c r="I24" s="15"/>
      <c r="J24" s="15"/>
      <c r="K24" s="15"/>
      <c r="L24" s="15"/>
      <c r="M24" s="15" t="s">
        <v>5</v>
      </c>
      <c r="N24" s="15"/>
      <c r="O24" s="16"/>
      <c r="P24" s="17"/>
      <c r="Q24" s="18"/>
      <c r="R24" s="19"/>
      <c r="S24" s="19"/>
      <c r="T24" s="18"/>
      <c r="U24" s="9"/>
    </row>
    <row r="25" spans="1:21" x14ac:dyDescent="0.25">
      <c r="A25" s="10" t="s">
        <v>7</v>
      </c>
      <c r="B25" s="10" t="s">
        <v>280</v>
      </c>
      <c r="F25" s="14" t="s">
        <v>39</v>
      </c>
      <c r="G25" s="15" t="s">
        <v>40</v>
      </c>
      <c r="H25" s="16"/>
      <c r="I25" s="15"/>
      <c r="J25" s="15"/>
      <c r="K25" s="15"/>
      <c r="L25" s="15"/>
      <c r="M25" s="15" t="s">
        <v>20</v>
      </c>
      <c r="N25" s="15"/>
      <c r="O25" s="16"/>
      <c r="P25" s="17"/>
      <c r="Q25" s="18"/>
      <c r="R25" s="19"/>
      <c r="S25" s="19"/>
      <c r="T25" s="18"/>
      <c r="U25" s="9"/>
    </row>
    <row r="26" spans="1:21" x14ac:dyDescent="0.25">
      <c r="A26" s="10" t="s">
        <v>244</v>
      </c>
      <c r="B26" s="10" t="s">
        <v>281</v>
      </c>
      <c r="F26" s="14" t="s">
        <v>61</v>
      </c>
      <c r="G26" s="15"/>
      <c r="H26" s="16"/>
      <c r="I26" s="15"/>
      <c r="J26" s="15"/>
      <c r="K26" s="15"/>
      <c r="L26" s="15"/>
      <c r="M26" s="15" t="s">
        <v>5</v>
      </c>
      <c r="N26" s="15"/>
      <c r="O26" s="16"/>
      <c r="P26" s="17"/>
      <c r="Q26" s="18"/>
      <c r="R26" s="19"/>
      <c r="S26" s="19"/>
      <c r="T26" s="18"/>
      <c r="U26" s="9"/>
    </row>
    <row r="27" spans="1:21" x14ac:dyDescent="0.25">
      <c r="A27" s="10" t="s">
        <v>245</v>
      </c>
      <c r="B27" s="10" t="s">
        <v>282</v>
      </c>
      <c r="F27" s="14" t="s">
        <v>61</v>
      </c>
      <c r="G27" s="15"/>
      <c r="H27" s="16"/>
      <c r="I27" s="15"/>
      <c r="J27" s="15"/>
      <c r="K27" s="15"/>
      <c r="L27" s="15"/>
      <c r="M27" s="15" t="s">
        <v>20</v>
      </c>
      <c r="N27" s="15"/>
      <c r="O27" s="16"/>
      <c r="P27" s="17"/>
      <c r="Q27" s="18"/>
      <c r="R27" s="19"/>
      <c r="S27" s="19"/>
      <c r="T27" s="18"/>
      <c r="U27" s="9"/>
    </row>
  </sheetData>
  <mergeCells count="2">
    <mergeCell ref="F8:O8"/>
    <mergeCell ref="P8:T8"/>
  </mergeCells>
  <dataValidations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5">
    <tabColor rgb="FF9BBB59"/>
  </sheetPr>
  <dimension ref="A1:U13"/>
  <sheetViews>
    <sheetView workbookViewId="0">
      <selection activeCell="A11" sqref="A11"/>
    </sheetView>
  </sheetViews>
  <sheetFormatPr baseColWidth="10" defaultColWidth="9.21875" defaultRowHeight="13.2" x14ac:dyDescent="0.25"/>
  <cols>
    <col min="1" max="1" width="25" style="10" customWidth="1"/>
    <col min="2" max="2" width="26.5546875" style="10" customWidth="1"/>
    <col min="3" max="3" width="11.5546875" style="10" customWidth="1"/>
    <col min="4" max="4" width="24.21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21.5546875" style="10" bestFit="1" customWidth="1"/>
    <col min="13" max="14" width="7" style="10" customWidth="1"/>
    <col min="15" max="15" width="10.5546875" style="10" customWidth="1"/>
    <col min="16" max="16" width="10.44140625" style="10" customWidth="1"/>
    <col min="17" max="17" width="12" style="10" bestFit="1" customWidth="1"/>
    <col min="18" max="18" width="15.5546875" style="10" bestFit="1" customWidth="1"/>
    <col min="19" max="19" width="20.5546875" style="10" bestFit="1" customWidth="1"/>
    <col min="20" max="20" width="14.5546875" style="10" bestFit="1" customWidth="1"/>
    <col min="21" max="16384" width="9.21875" style="10"/>
  </cols>
  <sheetData>
    <row r="1" spans="1:21" x14ac:dyDescent="0.25">
      <c r="A1" s="58" t="s">
        <v>28</v>
      </c>
      <c r="B1" s="5" t="s">
        <v>146</v>
      </c>
      <c r="C1" s="34" t="s">
        <v>312</v>
      </c>
    </row>
    <row r="2" spans="1:21" x14ac:dyDescent="0.25">
      <c r="A2" s="58" t="s">
        <v>3</v>
      </c>
      <c r="B2" s="5" t="s">
        <v>235</v>
      </c>
      <c r="C2" s="34" t="s">
        <v>313</v>
      </c>
    </row>
    <row r="3" spans="1:21" s="1" customFormat="1" x14ac:dyDescent="0.25">
      <c r="A3" s="59" t="s">
        <v>29</v>
      </c>
      <c r="B3" s="1" t="s">
        <v>256</v>
      </c>
      <c r="C3" s="35" t="s">
        <v>335</v>
      </c>
      <c r="D3" s="2"/>
    </row>
    <row r="4" spans="1:21" s="1" customFormat="1" x14ac:dyDescent="0.25">
      <c r="A4" s="59" t="s">
        <v>305</v>
      </c>
      <c r="B4" s="5" t="s">
        <v>346</v>
      </c>
      <c r="C4" s="35" t="s">
        <v>311</v>
      </c>
      <c r="D4" s="2"/>
    </row>
    <row r="5" spans="1:21" s="1" customFormat="1" x14ac:dyDescent="0.25">
      <c r="A5" s="59" t="s">
        <v>333</v>
      </c>
      <c r="B5" s="7" t="s">
        <v>5</v>
      </c>
      <c r="C5" s="35" t="s">
        <v>334</v>
      </c>
      <c r="D5" s="2"/>
    </row>
    <row r="6" spans="1:21" s="1" customFormat="1" x14ac:dyDescent="0.25">
      <c r="A6" s="59" t="s">
        <v>31</v>
      </c>
      <c r="B6" s="12"/>
      <c r="C6" s="12"/>
      <c r="D6" s="2"/>
    </row>
    <row r="7" spans="1:21" x14ac:dyDescent="0.25">
      <c r="A7" s="31" t="s">
        <v>307</v>
      </c>
    </row>
    <row r="8" spans="1:21" s="4" customFormat="1" ht="13.5" customHeight="1" x14ac:dyDescent="0.25">
      <c r="A8" s="51"/>
      <c r="B8" s="51"/>
      <c r="C8" s="51"/>
      <c r="D8" s="52"/>
      <c r="E8" s="52"/>
      <c r="F8" s="146" t="s">
        <v>8</v>
      </c>
      <c r="G8" s="147"/>
      <c r="H8" s="147"/>
      <c r="I8" s="147"/>
      <c r="J8" s="147"/>
      <c r="K8" s="147"/>
      <c r="L8" s="147"/>
      <c r="M8" s="147"/>
      <c r="N8" s="147"/>
      <c r="O8" s="148"/>
      <c r="P8" s="149" t="s">
        <v>9</v>
      </c>
      <c r="Q8" s="150"/>
      <c r="R8" s="150"/>
      <c r="S8" s="150"/>
      <c r="T8" s="151"/>
    </row>
    <row r="9" spans="1:21" s="4" customFormat="1" ht="26.1" customHeight="1" x14ac:dyDescent="0.25">
      <c r="A9" s="53" t="s">
        <v>4</v>
      </c>
      <c r="B9" s="53" t="s">
        <v>26</v>
      </c>
      <c r="C9" s="53" t="s">
        <v>7</v>
      </c>
      <c r="D9" s="53" t="s">
        <v>10</v>
      </c>
      <c r="E9" s="53" t="s">
        <v>13</v>
      </c>
      <c r="F9" s="54" t="s">
        <v>11</v>
      </c>
      <c r="G9" s="55" t="s">
        <v>6</v>
      </c>
      <c r="H9" s="55" t="s">
        <v>12</v>
      </c>
      <c r="I9" s="55" t="s">
        <v>87</v>
      </c>
      <c r="J9" s="55" t="s">
        <v>308</v>
      </c>
      <c r="K9" s="55" t="s">
        <v>309</v>
      </c>
      <c r="L9" s="55" t="s">
        <v>14</v>
      </c>
      <c r="M9" s="55" t="s">
        <v>287</v>
      </c>
      <c r="N9" s="55" t="s">
        <v>385</v>
      </c>
      <c r="O9" s="56" t="s">
        <v>15</v>
      </c>
      <c r="P9" s="57" t="s">
        <v>21</v>
      </c>
      <c r="Q9" s="55" t="s">
        <v>22</v>
      </c>
      <c r="R9" s="55" t="s">
        <v>23</v>
      </c>
      <c r="S9" s="55" t="s">
        <v>24</v>
      </c>
      <c r="T9" s="56" t="s">
        <v>16</v>
      </c>
    </row>
    <row r="10" spans="1:21" ht="158.4" x14ac:dyDescent="0.25">
      <c r="A10" s="10" t="s">
        <v>248</v>
      </c>
      <c r="B10" s="10" t="s">
        <v>248</v>
      </c>
      <c r="C10" s="11" t="s">
        <v>257</v>
      </c>
      <c r="F10" s="14" t="s">
        <v>39</v>
      </c>
      <c r="G10" s="15">
        <v>32</v>
      </c>
      <c r="H10" s="16"/>
      <c r="I10" s="15" t="s">
        <v>87</v>
      </c>
      <c r="J10" s="15"/>
      <c r="K10" s="15"/>
      <c r="L10" s="15"/>
      <c r="M10" s="15" t="s">
        <v>5</v>
      </c>
      <c r="N10" s="15"/>
      <c r="O10" s="16"/>
      <c r="P10" s="17"/>
      <c r="Q10" s="18"/>
      <c r="R10" s="19"/>
      <c r="S10" s="19"/>
      <c r="T10" s="18"/>
      <c r="U10" s="9"/>
    </row>
    <row r="11" spans="1:21" ht="92.4" x14ac:dyDescent="0.25">
      <c r="A11" s="10" t="s">
        <v>249</v>
      </c>
      <c r="B11" s="10" t="s">
        <v>249</v>
      </c>
      <c r="C11" s="11" t="s">
        <v>258</v>
      </c>
      <c r="F11" s="14" t="s">
        <v>39</v>
      </c>
      <c r="G11" s="15">
        <v>32</v>
      </c>
      <c r="H11" s="16"/>
      <c r="I11" s="15" t="s">
        <v>87</v>
      </c>
      <c r="J11" s="15"/>
      <c r="K11" s="15"/>
      <c r="L11" s="15"/>
      <c r="M11" s="15" t="s">
        <v>5</v>
      </c>
      <c r="N11" s="15"/>
      <c r="O11" s="16"/>
      <c r="P11" s="17"/>
      <c r="Q11" s="18"/>
      <c r="R11" s="19"/>
      <c r="S11" s="19"/>
      <c r="T11" s="18"/>
      <c r="U11" s="9"/>
    </row>
    <row r="12" spans="1:21" x14ac:dyDescent="0.25">
      <c r="A12" s="10" t="s">
        <v>250</v>
      </c>
      <c r="B12" s="10" t="s">
        <v>250</v>
      </c>
      <c r="C12" s="10" t="s">
        <v>259</v>
      </c>
      <c r="F12" s="14" t="s">
        <v>39</v>
      </c>
      <c r="G12" s="15" t="s">
        <v>40</v>
      </c>
      <c r="H12" s="16"/>
      <c r="I12" s="15"/>
      <c r="J12" s="15"/>
      <c r="K12" s="15"/>
      <c r="L12" s="15"/>
      <c r="M12" s="15" t="s">
        <v>5</v>
      </c>
      <c r="N12" s="15"/>
      <c r="O12" s="16"/>
      <c r="P12" s="17"/>
      <c r="Q12" s="18"/>
      <c r="R12" s="19"/>
      <c r="S12" s="19"/>
      <c r="T12" s="18"/>
      <c r="U12" s="9"/>
    </row>
    <row r="13" spans="1:21" x14ac:dyDescent="0.25">
      <c r="A13" s="10" t="s">
        <v>7</v>
      </c>
      <c r="B13" s="10" t="s">
        <v>7</v>
      </c>
      <c r="C13" s="10" t="s">
        <v>260</v>
      </c>
      <c r="E13" s="10" t="s">
        <v>215</v>
      </c>
      <c r="F13" s="14" t="s">
        <v>39</v>
      </c>
      <c r="G13" s="15" t="s">
        <v>40</v>
      </c>
      <c r="H13" s="16"/>
      <c r="I13" s="15"/>
      <c r="J13" s="15"/>
      <c r="K13" s="15"/>
      <c r="L13" s="15"/>
      <c r="M13" s="15" t="s">
        <v>20</v>
      </c>
      <c r="N13" s="15"/>
      <c r="O13" s="16"/>
      <c r="P13" s="17"/>
      <c r="Q13" s="18"/>
      <c r="R13" s="19"/>
      <c r="S13" s="19"/>
      <c r="T13" s="18"/>
      <c r="U13" s="9"/>
    </row>
  </sheetData>
  <mergeCells count="2">
    <mergeCell ref="F8:O8"/>
    <mergeCell ref="P8:T8"/>
  </mergeCells>
  <dataValidations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3">
    <tabColor rgb="FF9BBB59"/>
  </sheetPr>
  <dimension ref="A1:U11"/>
  <sheetViews>
    <sheetView workbookViewId="0">
      <selection activeCell="B4" sqref="B4"/>
    </sheetView>
  </sheetViews>
  <sheetFormatPr baseColWidth="10" defaultColWidth="9.21875" defaultRowHeight="13.2" x14ac:dyDescent="0.25"/>
  <cols>
    <col min="1" max="1" width="25" style="10" customWidth="1"/>
    <col min="2" max="2" width="26.5546875" style="10" customWidth="1"/>
    <col min="3" max="3" width="11.5546875" style="10" customWidth="1"/>
    <col min="4" max="4" width="24.21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21.5546875" style="10" bestFit="1" customWidth="1"/>
    <col min="13" max="14" width="7" style="10" customWidth="1"/>
    <col min="15" max="15" width="10.5546875" style="10" customWidth="1"/>
    <col min="16" max="16" width="10.44140625" style="10" customWidth="1"/>
    <col min="17" max="17" width="12" style="10" bestFit="1" customWidth="1"/>
    <col min="18" max="18" width="15.5546875" style="10" bestFit="1" customWidth="1"/>
    <col min="19" max="19" width="20.5546875" style="10" bestFit="1" customWidth="1"/>
    <col min="20" max="20" width="14.5546875" style="10" bestFit="1" customWidth="1"/>
    <col min="21" max="16384" width="9.21875" style="10"/>
  </cols>
  <sheetData>
    <row r="1" spans="1:21" x14ac:dyDescent="0.25">
      <c r="A1" s="58" t="s">
        <v>28</v>
      </c>
      <c r="B1" s="5" t="s">
        <v>146</v>
      </c>
      <c r="C1" s="34" t="s">
        <v>312</v>
      </c>
    </row>
    <row r="2" spans="1:21" x14ac:dyDescent="0.25">
      <c r="A2" s="58" t="s">
        <v>3</v>
      </c>
      <c r="B2" s="5" t="s">
        <v>107</v>
      </c>
      <c r="C2" s="34" t="s">
        <v>313</v>
      </c>
    </row>
    <row r="3" spans="1:21" s="1" customFormat="1" x14ac:dyDescent="0.25">
      <c r="A3" s="59" t="s">
        <v>29</v>
      </c>
      <c r="B3" s="1" t="s">
        <v>108</v>
      </c>
      <c r="C3" s="35" t="s">
        <v>335</v>
      </c>
      <c r="D3" s="2"/>
    </row>
    <row r="4" spans="1:21" s="1" customFormat="1" x14ac:dyDescent="0.25">
      <c r="A4" s="59" t="s">
        <v>305</v>
      </c>
      <c r="B4" s="5" t="s">
        <v>346</v>
      </c>
      <c r="C4" s="35" t="s">
        <v>311</v>
      </c>
      <c r="D4" s="2"/>
    </row>
    <row r="5" spans="1:21" s="1" customFormat="1" x14ac:dyDescent="0.25">
      <c r="A5" s="59" t="s">
        <v>333</v>
      </c>
      <c r="B5" s="7" t="s">
        <v>5</v>
      </c>
      <c r="C5" s="35" t="s">
        <v>334</v>
      </c>
      <c r="D5" s="2"/>
    </row>
    <row r="6" spans="1:21" s="1" customFormat="1" x14ac:dyDescent="0.25">
      <c r="A6" s="59" t="s">
        <v>31</v>
      </c>
      <c r="B6" s="12"/>
      <c r="C6" s="12"/>
      <c r="D6" s="2"/>
    </row>
    <row r="7" spans="1:21" x14ac:dyDescent="0.25">
      <c r="A7" s="31" t="s">
        <v>307</v>
      </c>
    </row>
    <row r="8" spans="1:21" s="4" customFormat="1" ht="13.5" customHeight="1" x14ac:dyDescent="0.25">
      <c r="A8" s="51"/>
      <c r="B8" s="51"/>
      <c r="C8" s="51"/>
      <c r="D8" s="52"/>
      <c r="E8" s="52"/>
      <c r="F8" s="146" t="s">
        <v>8</v>
      </c>
      <c r="G8" s="147"/>
      <c r="H8" s="147"/>
      <c r="I8" s="147"/>
      <c r="J8" s="147"/>
      <c r="K8" s="147"/>
      <c r="L8" s="147"/>
      <c r="M8" s="147"/>
      <c r="N8" s="147"/>
      <c r="O8" s="148"/>
      <c r="P8" s="149" t="s">
        <v>9</v>
      </c>
      <c r="Q8" s="150"/>
      <c r="R8" s="150"/>
      <c r="S8" s="150"/>
      <c r="T8" s="151"/>
    </row>
    <row r="9" spans="1:21" s="4" customFormat="1" ht="26.1" customHeight="1" x14ac:dyDescent="0.25">
      <c r="A9" s="53" t="s">
        <v>4</v>
      </c>
      <c r="B9" s="53" t="s">
        <v>26</v>
      </c>
      <c r="C9" s="53" t="s">
        <v>7</v>
      </c>
      <c r="D9" s="53" t="s">
        <v>10</v>
      </c>
      <c r="E9" s="53" t="s">
        <v>13</v>
      </c>
      <c r="F9" s="54" t="s">
        <v>11</v>
      </c>
      <c r="G9" s="55" t="s">
        <v>6</v>
      </c>
      <c r="H9" s="55" t="s">
        <v>12</v>
      </c>
      <c r="I9" s="55" t="s">
        <v>87</v>
      </c>
      <c r="J9" s="55" t="s">
        <v>308</v>
      </c>
      <c r="K9" s="55" t="s">
        <v>309</v>
      </c>
      <c r="L9" s="55" t="s">
        <v>14</v>
      </c>
      <c r="M9" s="55" t="s">
        <v>287</v>
      </c>
      <c r="N9" s="55" t="s">
        <v>385</v>
      </c>
      <c r="O9" s="56" t="s">
        <v>15</v>
      </c>
      <c r="P9" s="57" t="s">
        <v>21</v>
      </c>
      <c r="Q9" s="55" t="s">
        <v>22</v>
      </c>
      <c r="R9" s="55" t="s">
        <v>23</v>
      </c>
      <c r="S9" s="55" t="s">
        <v>24</v>
      </c>
      <c r="T9" s="56" t="s">
        <v>16</v>
      </c>
    </row>
    <row r="10" spans="1:21" x14ac:dyDescent="0.25">
      <c r="A10" s="10" t="s">
        <v>109</v>
      </c>
      <c r="B10" s="10" t="s">
        <v>222</v>
      </c>
      <c r="D10" s="11" t="s">
        <v>151</v>
      </c>
      <c r="F10" s="14" t="s">
        <v>39</v>
      </c>
      <c r="G10" s="15">
        <v>50</v>
      </c>
      <c r="H10" s="16"/>
      <c r="I10" s="15" t="s">
        <v>87</v>
      </c>
      <c r="J10" s="15"/>
      <c r="K10" s="15"/>
      <c r="L10" s="15"/>
      <c r="M10" s="15" t="s">
        <v>5</v>
      </c>
      <c r="N10" s="15"/>
      <c r="O10" s="16"/>
      <c r="P10" s="17"/>
      <c r="Q10" s="18"/>
      <c r="R10" s="19"/>
      <c r="S10" s="19"/>
      <c r="T10" s="18"/>
      <c r="U10" s="9"/>
    </row>
    <row r="11" spans="1:21" x14ac:dyDescent="0.25">
      <c r="A11" s="10" t="s">
        <v>110</v>
      </c>
      <c r="B11" s="10" t="s">
        <v>221</v>
      </c>
      <c r="D11" s="11" t="s">
        <v>151</v>
      </c>
      <c r="E11" s="10" t="s">
        <v>223</v>
      </c>
      <c r="F11" s="14" t="s">
        <v>39</v>
      </c>
      <c r="G11" s="15">
        <v>50</v>
      </c>
      <c r="H11" s="16"/>
      <c r="I11" s="15"/>
      <c r="J11" s="15"/>
      <c r="K11" s="15"/>
      <c r="L11" s="15"/>
      <c r="M11" s="15" t="s">
        <v>20</v>
      </c>
      <c r="N11" s="15"/>
      <c r="O11" s="16"/>
      <c r="P11" s="17"/>
      <c r="Q11" s="18"/>
      <c r="R11" s="19"/>
      <c r="S11" s="19"/>
      <c r="T11" s="18"/>
      <c r="U11" s="9"/>
    </row>
  </sheetData>
  <mergeCells count="2">
    <mergeCell ref="F8:O8"/>
    <mergeCell ref="P8:T8"/>
  </mergeCells>
  <dataValidations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6">
    <tabColor rgb="FF9BBB59"/>
  </sheetPr>
  <dimension ref="A1:U29"/>
  <sheetViews>
    <sheetView zoomScaleNormal="100" workbookViewId="0">
      <selection activeCell="A28" sqref="A28"/>
    </sheetView>
  </sheetViews>
  <sheetFormatPr baseColWidth="10" defaultColWidth="9.21875" defaultRowHeight="13.2" x14ac:dyDescent="0.25"/>
  <cols>
    <col min="1" max="1" width="25" style="10" customWidth="1"/>
    <col min="2" max="2" width="26.5546875" style="10" customWidth="1"/>
    <col min="3" max="3" width="41.77734375" style="10" customWidth="1"/>
    <col min="4" max="4" width="24.21875" style="11" customWidth="1"/>
    <col min="5" max="5" width="36.21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21.5546875" style="10" bestFit="1" customWidth="1"/>
    <col min="13" max="14" width="7" style="10" customWidth="1"/>
    <col min="15" max="15" width="10.5546875" style="10" customWidth="1"/>
    <col min="16" max="16" width="10.44140625" style="10" customWidth="1"/>
    <col min="17" max="17" width="15.44140625" style="10" bestFit="1" customWidth="1"/>
    <col min="18" max="18" width="15.5546875" style="10" bestFit="1" customWidth="1"/>
    <col min="19" max="19" width="20.5546875" style="10" bestFit="1" customWidth="1"/>
    <col min="20" max="20" width="14.5546875" style="10" bestFit="1" customWidth="1"/>
    <col min="21" max="16384" width="9.21875" style="10"/>
  </cols>
  <sheetData>
    <row r="1" spans="1:21" x14ac:dyDescent="0.25">
      <c r="A1" s="58" t="s">
        <v>28</v>
      </c>
      <c r="B1" s="5" t="s">
        <v>146</v>
      </c>
      <c r="C1" s="34" t="s">
        <v>312</v>
      </c>
    </row>
    <row r="2" spans="1:21" x14ac:dyDescent="0.25">
      <c r="A2" s="58" t="s">
        <v>3</v>
      </c>
      <c r="B2" s="5" t="s">
        <v>236</v>
      </c>
      <c r="C2" s="34" t="s">
        <v>313</v>
      </c>
    </row>
    <row r="3" spans="1:21" s="1" customFormat="1" ht="31.5" customHeight="1" x14ac:dyDescent="0.25">
      <c r="A3" s="59" t="s">
        <v>29</v>
      </c>
      <c r="B3" s="2" t="s">
        <v>293</v>
      </c>
      <c r="C3" s="35" t="s">
        <v>335</v>
      </c>
      <c r="D3" s="2"/>
    </row>
    <row r="4" spans="1:21" s="1" customFormat="1" x14ac:dyDescent="0.25">
      <c r="A4" s="59" t="s">
        <v>305</v>
      </c>
      <c r="B4" s="5" t="s">
        <v>346</v>
      </c>
      <c r="C4" s="35" t="s">
        <v>311</v>
      </c>
      <c r="D4" s="2"/>
    </row>
    <row r="5" spans="1:21" s="1" customFormat="1" x14ac:dyDescent="0.25">
      <c r="A5" s="59" t="s">
        <v>333</v>
      </c>
      <c r="B5" s="7" t="s">
        <v>5</v>
      </c>
      <c r="C5" s="35" t="s">
        <v>334</v>
      </c>
      <c r="D5" s="2"/>
    </row>
    <row r="6" spans="1:21" s="1" customFormat="1" x14ac:dyDescent="0.25">
      <c r="A6" s="59" t="s">
        <v>31</v>
      </c>
      <c r="B6" s="12"/>
      <c r="C6" s="12"/>
      <c r="D6" s="2"/>
    </row>
    <row r="7" spans="1:21" x14ac:dyDescent="0.25">
      <c r="A7" s="31" t="s">
        <v>307</v>
      </c>
    </row>
    <row r="8" spans="1:21" s="4" customFormat="1" ht="13.5" customHeight="1" x14ac:dyDescent="0.25">
      <c r="A8" s="51"/>
      <c r="B8" s="51"/>
      <c r="C8" s="51"/>
      <c r="D8" s="52"/>
      <c r="E8" s="52"/>
      <c r="F8" s="146" t="s">
        <v>8</v>
      </c>
      <c r="G8" s="147"/>
      <c r="H8" s="147"/>
      <c r="I8" s="147"/>
      <c r="J8" s="147"/>
      <c r="K8" s="147"/>
      <c r="L8" s="147"/>
      <c r="M8" s="147"/>
      <c r="N8" s="147"/>
      <c r="O8" s="148"/>
      <c r="P8" s="149" t="s">
        <v>9</v>
      </c>
      <c r="Q8" s="150"/>
      <c r="R8" s="150"/>
      <c r="S8" s="150"/>
      <c r="T8" s="151"/>
    </row>
    <row r="9" spans="1:21" s="4" customFormat="1" ht="26.1" customHeight="1" x14ac:dyDescent="0.25">
      <c r="A9" s="53" t="s">
        <v>4</v>
      </c>
      <c r="B9" s="53" t="s">
        <v>26</v>
      </c>
      <c r="C9" s="53" t="s">
        <v>7</v>
      </c>
      <c r="D9" s="53" t="s">
        <v>10</v>
      </c>
      <c r="E9" s="53" t="s">
        <v>13</v>
      </c>
      <c r="F9" s="54" t="s">
        <v>11</v>
      </c>
      <c r="G9" s="55" t="s">
        <v>6</v>
      </c>
      <c r="H9" s="55" t="s">
        <v>12</v>
      </c>
      <c r="I9" s="55" t="s">
        <v>87</v>
      </c>
      <c r="J9" s="55" t="s">
        <v>308</v>
      </c>
      <c r="K9" s="55" t="s">
        <v>309</v>
      </c>
      <c r="L9" s="55" t="s">
        <v>14</v>
      </c>
      <c r="M9" s="55" t="s">
        <v>287</v>
      </c>
      <c r="N9" s="55" t="s">
        <v>385</v>
      </c>
      <c r="O9" s="56" t="s">
        <v>15</v>
      </c>
      <c r="P9" s="57" t="s">
        <v>21</v>
      </c>
      <c r="Q9" s="55" t="s">
        <v>22</v>
      </c>
      <c r="R9" s="55" t="s">
        <v>23</v>
      </c>
      <c r="S9" s="55" t="s">
        <v>24</v>
      </c>
      <c r="T9" s="56" t="s">
        <v>16</v>
      </c>
    </row>
    <row r="10" spans="1:21" x14ac:dyDescent="0.25">
      <c r="A10" s="10" t="s">
        <v>445</v>
      </c>
      <c r="B10" s="10" t="s">
        <v>448</v>
      </c>
      <c r="E10" s="10" t="s">
        <v>449</v>
      </c>
      <c r="F10" s="14" t="s">
        <v>60</v>
      </c>
      <c r="G10" s="15"/>
      <c r="H10" s="16"/>
      <c r="I10" s="15"/>
      <c r="J10" s="113" t="s">
        <v>500</v>
      </c>
      <c r="K10" s="113"/>
      <c r="L10" s="15"/>
      <c r="M10" s="15" t="s">
        <v>5</v>
      </c>
      <c r="N10" s="15"/>
      <c r="O10" s="16"/>
      <c r="P10" s="17"/>
      <c r="Q10" s="18" t="s">
        <v>494</v>
      </c>
      <c r="R10" s="19" t="s">
        <v>495</v>
      </c>
      <c r="S10" s="19" t="s">
        <v>489</v>
      </c>
      <c r="T10" s="18"/>
      <c r="U10" s="9"/>
    </row>
    <row r="11" spans="1:21" x14ac:dyDescent="0.25">
      <c r="A11" s="10" t="s">
        <v>74</v>
      </c>
      <c r="B11" s="10" t="s">
        <v>297</v>
      </c>
      <c r="E11" s="10" t="s">
        <v>451</v>
      </c>
      <c r="F11" s="14" t="s">
        <v>39</v>
      </c>
      <c r="G11" s="15">
        <v>128</v>
      </c>
      <c r="H11" s="16"/>
      <c r="I11" s="15" t="s">
        <v>87</v>
      </c>
      <c r="J11" s="113"/>
      <c r="K11" s="113"/>
      <c r="L11" s="15"/>
      <c r="M11" s="15" t="s">
        <v>5</v>
      </c>
      <c r="N11" s="15"/>
      <c r="O11" s="16"/>
      <c r="P11" s="17"/>
      <c r="Q11" s="18" t="s">
        <v>494</v>
      </c>
      <c r="R11" s="19" t="s">
        <v>495</v>
      </c>
      <c r="S11" s="19" t="s">
        <v>490</v>
      </c>
      <c r="T11" s="18"/>
      <c r="U11" s="9"/>
    </row>
    <row r="12" spans="1:21" x14ac:dyDescent="0.25">
      <c r="A12" s="10" t="s">
        <v>446</v>
      </c>
      <c r="B12" s="10" t="s">
        <v>447</v>
      </c>
      <c r="E12" s="10" t="s">
        <v>450</v>
      </c>
      <c r="F12" s="14" t="s">
        <v>60</v>
      </c>
      <c r="G12" s="15"/>
      <c r="H12" s="16"/>
      <c r="I12" s="15"/>
      <c r="J12" s="113" t="s">
        <v>500</v>
      </c>
      <c r="K12" s="113"/>
      <c r="L12" s="15"/>
      <c r="M12" s="15" t="s">
        <v>5</v>
      </c>
      <c r="N12" s="15"/>
      <c r="O12" s="16"/>
      <c r="P12" s="17"/>
      <c r="Q12" s="18" t="s">
        <v>494</v>
      </c>
      <c r="R12" s="19" t="s">
        <v>496</v>
      </c>
      <c r="S12" s="19" t="s">
        <v>491</v>
      </c>
      <c r="T12" s="18"/>
      <c r="U12" s="9"/>
    </row>
    <row r="13" spans="1:21" x14ac:dyDescent="0.25">
      <c r="A13" s="10" t="s">
        <v>75</v>
      </c>
      <c r="B13" s="10" t="s">
        <v>3</v>
      </c>
      <c r="E13" s="10" t="s">
        <v>452</v>
      </c>
      <c r="F13" s="14" t="s">
        <v>39</v>
      </c>
      <c r="G13" s="15">
        <v>128</v>
      </c>
      <c r="H13" s="16"/>
      <c r="I13" s="15" t="s">
        <v>87</v>
      </c>
      <c r="J13" s="113"/>
      <c r="K13" s="113"/>
      <c r="L13" s="15"/>
      <c r="M13" s="15" t="s">
        <v>5</v>
      </c>
      <c r="N13" s="15"/>
      <c r="O13" s="16"/>
      <c r="P13" s="17"/>
      <c r="Q13" s="18" t="s">
        <v>494</v>
      </c>
      <c r="R13" s="19" t="s">
        <v>496</v>
      </c>
      <c r="S13" s="19" t="s">
        <v>490</v>
      </c>
      <c r="T13" s="18"/>
      <c r="U13" s="9"/>
    </row>
    <row r="14" spans="1:21" x14ac:dyDescent="0.25">
      <c r="A14" s="10" t="s">
        <v>455</v>
      </c>
      <c r="B14" s="10" t="s">
        <v>447</v>
      </c>
      <c r="E14" s="10" t="s">
        <v>454</v>
      </c>
      <c r="F14" s="14" t="s">
        <v>60</v>
      </c>
      <c r="G14" s="15"/>
      <c r="H14" s="16"/>
      <c r="I14" s="15"/>
      <c r="J14" s="113" t="s">
        <v>500</v>
      </c>
      <c r="K14" s="113"/>
      <c r="L14" s="15"/>
      <c r="M14" s="15" t="s">
        <v>5</v>
      </c>
      <c r="N14" s="15"/>
      <c r="O14" s="16"/>
      <c r="P14" s="17"/>
      <c r="Q14" s="18" t="s">
        <v>494</v>
      </c>
      <c r="R14" s="19" t="s">
        <v>497</v>
      </c>
      <c r="S14" s="19" t="s">
        <v>492</v>
      </c>
      <c r="T14" s="18"/>
      <c r="U14" s="9"/>
    </row>
    <row r="15" spans="1:21" x14ac:dyDescent="0.25">
      <c r="A15" s="10" t="s">
        <v>251</v>
      </c>
      <c r="B15" s="10" t="s">
        <v>4</v>
      </c>
      <c r="E15" s="10" t="s">
        <v>453</v>
      </c>
      <c r="F15" s="14" t="s">
        <v>39</v>
      </c>
      <c r="G15" s="15">
        <v>128</v>
      </c>
      <c r="H15" s="16"/>
      <c r="I15" s="15" t="s">
        <v>87</v>
      </c>
      <c r="J15" s="113"/>
      <c r="K15" s="113"/>
      <c r="L15" s="15"/>
      <c r="M15" s="15" t="s">
        <v>5</v>
      </c>
      <c r="N15" s="15"/>
      <c r="O15" s="16"/>
      <c r="P15" s="17"/>
      <c r="Q15" s="18" t="s">
        <v>494</v>
      </c>
      <c r="R15" s="19" t="s">
        <v>497</v>
      </c>
      <c r="S15" s="19" t="s">
        <v>490</v>
      </c>
      <c r="T15" s="18"/>
      <c r="U15" s="9"/>
    </row>
    <row r="16" spans="1:21" x14ac:dyDescent="0.25">
      <c r="A16" s="10" t="s">
        <v>11</v>
      </c>
      <c r="B16" s="10" t="s">
        <v>458</v>
      </c>
      <c r="E16" s="10" t="s">
        <v>457</v>
      </c>
      <c r="F16" s="14" t="s">
        <v>39</v>
      </c>
      <c r="G16" s="15">
        <v>128</v>
      </c>
      <c r="H16" s="16"/>
      <c r="I16" s="15"/>
      <c r="J16" s="113"/>
      <c r="K16" s="113"/>
      <c r="L16" s="15"/>
      <c r="M16" s="15" t="s">
        <v>5</v>
      </c>
      <c r="N16" s="15"/>
      <c r="O16" s="16"/>
      <c r="P16" s="17"/>
      <c r="Q16" s="18" t="s">
        <v>494</v>
      </c>
      <c r="R16" s="19" t="s">
        <v>499</v>
      </c>
      <c r="S16" s="19" t="s">
        <v>456</v>
      </c>
      <c r="T16" s="18"/>
      <c r="U16" s="9"/>
    </row>
    <row r="17" spans="1:21" x14ac:dyDescent="0.25">
      <c r="A17" s="10" t="s">
        <v>252</v>
      </c>
      <c r="B17" s="10" t="s">
        <v>464</v>
      </c>
      <c r="C17" s="10" t="s">
        <v>463</v>
      </c>
      <c r="E17" s="10" t="s">
        <v>461</v>
      </c>
      <c r="F17" s="14" t="s">
        <v>60</v>
      </c>
      <c r="G17" s="15"/>
      <c r="H17" s="16"/>
      <c r="I17" s="15"/>
      <c r="J17" s="113"/>
      <c r="K17" s="113"/>
      <c r="L17" s="15"/>
      <c r="M17" s="15" t="s">
        <v>20</v>
      </c>
      <c r="N17" s="15"/>
      <c r="O17" s="16"/>
      <c r="P17" s="17" t="s">
        <v>38</v>
      </c>
      <c r="Q17" s="18" t="s">
        <v>494</v>
      </c>
      <c r="R17" s="19" t="s">
        <v>497</v>
      </c>
      <c r="S17" s="19" t="s">
        <v>459</v>
      </c>
      <c r="T17" s="18"/>
      <c r="U17" s="9"/>
    </row>
    <row r="18" spans="1:21" x14ac:dyDescent="0.25">
      <c r="A18" s="10" t="s">
        <v>12</v>
      </c>
      <c r="B18" s="10" t="s">
        <v>465</v>
      </c>
      <c r="E18" s="10" t="s">
        <v>474</v>
      </c>
      <c r="F18" s="14" t="s">
        <v>60</v>
      </c>
      <c r="G18" s="15"/>
      <c r="H18" s="16"/>
      <c r="I18" s="15"/>
      <c r="J18" s="113"/>
      <c r="K18" s="113"/>
      <c r="L18" s="15"/>
      <c r="M18" s="15" t="s">
        <v>20</v>
      </c>
      <c r="N18" s="15"/>
      <c r="O18" s="16"/>
      <c r="P18" s="17"/>
      <c r="Q18" s="18" t="s">
        <v>494</v>
      </c>
      <c r="R18" s="19" t="s">
        <v>497</v>
      </c>
      <c r="S18" s="19" t="s">
        <v>471</v>
      </c>
      <c r="T18" s="18"/>
      <c r="U18" s="9"/>
    </row>
    <row r="19" spans="1:21" x14ac:dyDescent="0.25">
      <c r="A19" s="10" t="s">
        <v>253</v>
      </c>
      <c r="B19" s="10" t="s">
        <v>466</v>
      </c>
      <c r="E19" s="10" t="s">
        <v>476</v>
      </c>
      <c r="F19" s="14" t="s">
        <v>60</v>
      </c>
      <c r="G19" s="15"/>
      <c r="H19" s="16"/>
      <c r="I19" s="15"/>
      <c r="J19" s="113"/>
      <c r="K19" s="113"/>
      <c r="L19" s="15"/>
      <c r="M19" s="15" t="s">
        <v>20</v>
      </c>
      <c r="N19" s="15"/>
      <c r="O19" s="16"/>
      <c r="P19" s="17"/>
      <c r="Q19" s="18" t="s">
        <v>494</v>
      </c>
      <c r="R19" s="19" t="s">
        <v>497</v>
      </c>
      <c r="S19" s="19" t="s">
        <v>472</v>
      </c>
      <c r="T19" s="18"/>
      <c r="U19" s="9"/>
    </row>
    <row r="20" spans="1:21" x14ac:dyDescent="0.25">
      <c r="A20" s="10" t="s">
        <v>254</v>
      </c>
      <c r="B20" s="10" t="s">
        <v>468</v>
      </c>
      <c r="E20" s="10" t="s">
        <v>462</v>
      </c>
      <c r="F20" s="14" t="s">
        <v>61</v>
      </c>
      <c r="G20" s="15"/>
      <c r="H20" s="16"/>
      <c r="I20" s="15"/>
      <c r="J20" s="113"/>
      <c r="K20" s="113"/>
      <c r="L20" s="15"/>
      <c r="M20" s="15" t="s">
        <v>20</v>
      </c>
      <c r="N20" s="15"/>
      <c r="O20" s="16"/>
      <c r="P20" s="17"/>
      <c r="Q20" s="18" t="s">
        <v>494</v>
      </c>
      <c r="R20" s="19" t="s">
        <v>497</v>
      </c>
      <c r="S20" s="19" t="s">
        <v>460</v>
      </c>
      <c r="T20" s="18"/>
      <c r="U20" s="9"/>
    </row>
    <row r="21" spans="1:21" x14ac:dyDescent="0.25">
      <c r="A21" s="10" t="s">
        <v>467</v>
      </c>
      <c r="B21" s="10" t="s">
        <v>469</v>
      </c>
      <c r="E21" s="10" t="s">
        <v>477</v>
      </c>
      <c r="F21" s="14" t="s">
        <v>61</v>
      </c>
      <c r="G21" s="15"/>
      <c r="H21" s="16"/>
      <c r="I21" s="15"/>
      <c r="J21" s="113"/>
      <c r="K21" s="113"/>
      <c r="L21" s="15"/>
      <c r="M21" s="15" t="s">
        <v>20</v>
      </c>
      <c r="N21" s="15"/>
      <c r="O21" s="16"/>
      <c r="P21" s="17"/>
      <c r="Q21" s="18" t="s">
        <v>494</v>
      </c>
      <c r="R21" s="19" t="s">
        <v>497</v>
      </c>
      <c r="S21" s="19" t="s">
        <v>470</v>
      </c>
      <c r="T21" s="18"/>
      <c r="U21" s="9"/>
    </row>
    <row r="22" spans="1:21" x14ac:dyDescent="0.25">
      <c r="A22" s="10" t="s">
        <v>478</v>
      </c>
      <c r="B22" s="10" t="s">
        <v>480</v>
      </c>
      <c r="C22" s="10" t="s">
        <v>479</v>
      </c>
      <c r="F22" s="14" t="s">
        <v>61</v>
      </c>
      <c r="G22" s="15"/>
      <c r="H22" s="16"/>
      <c r="I22" s="15"/>
      <c r="J22" s="113"/>
      <c r="K22" s="113"/>
      <c r="L22" s="15"/>
      <c r="M22" s="15" t="s">
        <v>20</v>
      </c>
      <c r="N22" s="15"/>
      <c r="O22" s="16"/>
      <c r="P22" s="17"/>
      <c r="Q22" s="18"/>
      <c r="R22" s="19"/>
      <c r="S22" s="19"/>
      <c r="T22" s="18"/>
      <c r="U22" s="9"/>
    </row>
    <row r="23" spans="1:21" x14ac:dyDescent="0.25">
      <c r="A23" s="10" t="s">
        <v>255</v>
      </c>
      <c r="B23" s="10" t="s">
        <v>481</v>
      </c>
      <c r="E23" s="10" t="s">
        <v>475</v>
      </c>
      <c r="F23" s="14" t="s">
        <v>39</v>
      </c>
      <c r="G23" s="15">
        <v>128</v>
      </c>
      <c r="H23" s="16"/>
      <c r="I23" s="15"/>
      <c r="J23" s="113"/>
      <c r="K23" s="113"/>
      <c r="L23" s="15"/>
      <c r="M23" s="15" t="s">
        <v>20</v>
      </c>
      <c r="N23" s="15"/>
      <c r="O23" s="16"/>
      <c r="P23" s="17"/>
      <c r="Q23" s="18" t="s">
        <v>494</v>
      </c>
      <c r="R23" s="19" t="s">
        <v>497</v>
      </c>
      <c r="S23" s="19" t="s">
        <v>473</v>
      </c>
      <c r="T23" s="18"/>
      <c r="U23" s="9"/>
    </row>
    <row r="24" spans="1:21" ht="66" x14ac:dyDescent="0.25">
      <c r="A24" s="10" t="s">
        <v>484</v>
      </c>
      <c r="B24" s="10" t="s">
        <v>487</v>
      </c>
      <c r="C24" s="11" t="s">
        <v>482</v>
      </c>
      <c r="E24" s="11" t="s">
        <v>483</v>
      </c>
      <c r="F24" s="14" t="s">
        <v>60</v>
      </c>
      <c r="G24" s="15"/>
      <c r="H24" s="16"/>
      <c r="I24" s="15"/>
      <c r="J24" s="113"/>
      <c r="K24" s="113"/>
      <c r="L24" s="15"/>
      <c r="M24" s="15" t="s">
        <v>20</v>
      </c>
      <c r="N24" s="15"/>
      <c r="O24" s="16"/>
      <c r="P24" s="17"/>
      <c r="Q24" s="18" t="s">
        <v>494</v>
      </c>
      <c r="R24" s="19" t="s">
        <v>498</v>
      </c>
      <c r="S24" s="19" t="s">
        <v>493</v>
      </c>
      <c r="T24" s="18"/>
      <c r="U24" s="9"/>
    </row>
    <row r="25" spans="1:21" ht="39.6" x14ac:dyDescent="0.25">
      <c r="A25" s="10" t="s">
        <v>485</v>
      </c>
      <c r="B25" s="10" t="s">
        <v>486</v>
      </c>
      <c r="C25" s="11" t="s">
        <v>488</v>
      </c>
      <c r="E25" s="11" t="s">
        <v>483</v>
      </c>
      <c r="F25" s="14" t="s">
        <v>60</v>
      </c>
      <c r="G25" s="15"/>
      <c r="H25" s="16"/>
      <c r="I25" s="15"/>
      <c r="J25" s="113"/>
      <c r="K25" s="113"/>
      <c r="L25" s="15"/>
      <c r="M25" s="15" t="s">
        <v>20</v>
      </c>
      <c r="N25" s="15"/>
      <c r="O25" s="16"/>
      <c r="P25" s="17" t="s">
        <v>38</v>
      </c>
      <c r="Q25" s="18"/>
      <c r="R25" s="19"/>
      <c r="S25" s="19"/>
      <c r="T25" s="18"/>
      <c r="U25" s="9"/>
    </row>
    <row r="26" spans="1:21" ht="18.75" customHeight="1" x14ac:dyDescent="0.25">
      <c r="A26" s="10" t="s">
        <v>292</v>
      </c>
      <c r="B26" s="10" t="s">
        <v>294</v>
      </c>
      <c r="C26" s="11" t="s">
        <v>295</v>
      </c>
      <c r="D26" s="11" t="s">
        <v>265</v>
      </c>
      <c r="E26" s="10" t="s">
        <v>296</v>
      </c>
      <c r="F26" s="14" t="s">
        <v>86</v>
      </c>
      <c r="G26" s="15">
        <v>1</v>
      </c>
      <c r="H26" s="16"/>
      <c r="I26" s="15"/>
      <c r="J26" s="113"/>
      <c r="K26" s="113"/>
      <c r="L26" s="15"/>
      <c r="M26" s="15" t="s">
        <v>20</v>
      </c>
      <c r="N26" s="15"/>
      <c r="O26" s="16"/>
      <c r="P26" s="17"/>
      <c r="Q26" s="18"/>
      <c r="R26" s="19"/>
      <c r="S26" s="19"/>
      <c r="T26" s="18"/>
      <c r="U26" s="9"/>
    </row>
    <row r="27" spans="1:21" ht="18.75" customHeight="1" x14ac:dyDescent="0.25">
      <c r="A27" s="10" t="s">
        <v>300</v>
      </c>
      <c r="B27" s="10" t="s">
        <v>391</v>
      </c>
      <c r="C27" s="11"/>
      <c r="F27" s="14" t="s">
        <v>61</v>
      </c>
      <c r="G27" s="15"/>
      <c r="H27" s="16"/>
      <c r="I27" s="15"/>
      <c r="J27" s="113"/>
      <c r="K27" s="113"/>
      <c r="L27" s="15"/>
      <c r="M27" s="15" t="s">
        <v>5</v>
      </c>
      <c r="N27" s="15"/>
      <c r="O27" s="16">
        <v>1</v>
      </c>
      <c r="P27" s="17"/>
      <c r="Q27" s="18"/>
      <c r="R27" s="19"/>
      <c r="S27" s="19"/>
      <c r="T27" s="18"/>
      <c r="U27" s="9"/>
    </row>
    <row r="28" spans="1:21" x14ac:dyDescent="0.25">
      <c r="A28" s="10" t="s">
        <v>304</v>
      </c>
      <c r="B28" s="10" t="s">
        <v>301</v>
      </c>
      <c r="F28" s="14" t="s">
        <v>61</v>
      </c>
      <c r="G28" s="15"/>
      <c r="H28" s="16"/>
      <c r="I28" s="15"/>
      <c r="J28" s="113"/>
      <c r="K28" s="113"/>
      <c r="L28" s="15"/>
      <c r="M28" s="15" t="s">
        <v>5</v>
      </c>
      <c r="N28" s="15"/>
      <c r="O28" s="16">
        <v>0</v>
      </c>
      <c r="P28" s="17"/>
      <c r="Q28" s="18"/>
      <c r="R28" s="19"/>
      <c r="S28" s="19"/>
      <c r="T28" s="18"/>
      <c r="U28" s="9"/>
    </row>
    <row r="29" spans="1:21" x14ac:dyDescent="0.25">
      <c r="A29" s="10" t="s">
        <v>303</v>
      </c>
      <c r="B29" s="10" t="s">
        <v>302</v>
      </c>
      <c r="F29" s="14" t="s">
        <v>39</v>
      </c>
      <c r="G29" s="15">
        <v>50</v>
      </c>
      <c r="H29" s="16"/>
      <c r="I29" s="15"/>
      <c r="J29" s="113"/>
      <c r="K29" s="113"/>
      <c r="L29" s="15"/>
      <c r="M29" s="15" t="s">
        <v>20</v>
      </c>
      <c r="N29" s="15"/>
      <c r="O29" s="16"/>
      <c r="P29" s="17"/>
      <c r="Q29" s="18"/>
      <c r="R29" s="19"/>
      <c r="S29" s="19"/>
      <c r="T29" s="18"/>
      <c r="U29" s="9"/>
    </row>
  </sheetData>
  <mergeCells count="2">
    <mergeCell ref="F8:O8"/>
    <mergeCell ref="P8:T8"/>
  </mergeCells>
  <dataValidations count="2">
    <dataValidation type="list" allowBlank="1" showInputMessage="1" showErrorMessage="1" sqref="B5">
      <formula1>"Y, N"</formula1>
    </dataValidation>
    <dataValidation type="list" allowBlank="1" showInputMessage="1" showErrorMessage="1" promptTitle="Table Type" prompt="PK Type" sqref="B4">
      <formula1>"CLUSTERED,NONCLUSTERD"</formula1>
    </dataValidation>
  </dataValidations>
  <hyperlinks>
    <hyperlink ref="A7" location="Home!A1" display="Home"/>
  </hyperlinks>
  <pageMargins left="0.7" right="0.7" top="0.78740157499999996" bottom="0.78740157499999996"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7">
    <tabColor rgb="FFC0504D"/>
  </sheetPr>
  <dimension ref="A1:U26"/>
  <sheetViews>
    <sheetView topLeftCell="A7" workbookViewId="0">
      <selection activeCell="C16" sqref="C16"/>
    </sheetView>
  </sheetViews>
  <sheetFormatPr baseColWidth="10" defaultColWidth="9.21875" defaultRowHeight="13.2" x14ac:dyDescent="0.25"/>
  <cols>
    <col min="1" max="1" width="25" style="10" customWidth="1"/>
    <col min="2" max="2" width="26.5546875" style="10" customWidth="1"/>
    <col min="3" max="3" width="11.5546875" style="10" customWidth="1"/>
    <col min="4" max="4" width="18.21875" style="11" customWidth="1"/>
    <col min="5" max="5" width="11.5546875" style="10" customWidth="1"/>
    <col min="6" max="6" width="9.44140625" style="10" customWidth="1"/>
    <col min="7" max="7" width="6.21875" style="10" customWidth="1"/>
    <col min="8" max="8" width="7.44140625" style="10" customWidth="1"/>
    <col min="9" max="9" width="4.5546875" style="10" bestFit="1" customWidth="1"/>
    <col min="10" max="11" width="4.5546875" style="10" customWidth="1"/>
    <col min="12" max="12" width="16.77734375" style="10" bestFit="1" customWidth="1"/>
    <col min="13" max="14" width="7" style="10" customWidth="1"/>
    <col min="15" max="15" width="10.5546875" style="10" customWidth="1"/>
    <col min="16" max="16" width="10.44140625" style="10" customWidth="1"/>
    <col min="17" max="17" width="12" style="10" bestFit="1" customWidth="1"/>
    <col min="18" max="18" width="13.5546875" style="10" bestFit="1" customWidth="1"/>
    <col min="19" max="19" width="20.5546875" style="10" bestFit="1" customWidth="1"/>
    <col min="20" max="20" width="14.5546875" style="10" customWidth="1"/>
    <col min="21" max="16384" width="9.21875" style="10"/>
  </cols>
  <sheetData>
    <row r="1" spans="1:21" x14ac:dyDescent="0.25">
      <c r="A1" s="43" t="s">
        <v>28</v>
      </c>
      <c r="B1" s="5" t="s">
        <v>142</v>
      </c>
      <c r="C1" s="34" t="s">
        <v>312</v>
      </c>
      <c r="D1" s="23"/>
      <c r="E1" s="23"/>
      <c r="F1" s="23"/>
      <c r="G1" s="23"/>
      <c r="H1" s="23"/>
      <c r="I1" s="23"/>
      <c r="J1" s="23"/>
      <c r="K1" s="23"/>
      <c r="L1" s="23"/>
      <c r="M1" s="23"/>
      <c r="N1" s="23"/>
      <c r="O1" s="23"/>
      <c r="P1" s="23"/>
      <c r="Q1" s="23"/>
      <c r="R1" s="23"/>
      <c r="S1" s="23"/>
      <c r="T1" s="23"/>
    </row>
    <row r="2" spans="1:21" x14ac:dyDescent="0.25">
      <c r="A2" s="43" t="s">
        <v>3</v>
      </c>
      <c r="B2" s="25" t="s">
        <v>357</v>
      </c>
      <c r="C2" s="34" t="s">
        <v>313</v>
      </c>
      <c r="D2" s="23"/>
      <c r="E2" s="23"/>
      <c r="F2" s="23"/>
      <c r="G2" s="23"/>
      <c r="H2" s="23"/>
      <c r="I2" s="23"/>
      <c r="J2" s="23"/>
      <c r="K2" s="23"/>
      <c r="L2" s="23"/>
      <c r="M2" s="23"/>
      <c r="N2" s="23"/>
      <c r="O2" s="23"/>
      <c r="P2" s="23"/>
      <c r="Q2" s="23"/>
      <c r="R2" s="23"/>
      <c r="S2" s="23"/>
      <c r="T2" s="23"/>
    </row>
    <row r="3" spans="1:21" s="1" customFormat="1" x14ac:dyDescent="0.25">
      <c r="A3" s="44" t="s">
        <v>29</v>
      </c>
      <c r="B3" s="25" t="s">
        <v>44</v>
      </c>
      <c r="C3" s="35" t="s">
        <v>335</v>
      </c>
      <c r="D3" s="24"/>
      <c r="E3" s="23"/>
      <c r="F3" s="23"/>
      <c r="G3" s="23"/>
      <c r="H3" s="23"/>
      <c r="I3" s="23"/>
      <c r="J3" s="23"/>
      <c r="K3" s="23"/>
      <c r="L3" s="23"/>
      <c r="M3" s="23"/>
      <c r="N3" s="23"/>
      <c r="O3" s="23"/>
      <c r="P3" s="23"/>
      <c r="Q3" s="23"/>
      <c r="R3" s="23"/>
      <c r="S3" s="23"/>
      <c r="T3" s="23"/>
    </row>
    <row r="4" spans="1:21" s="1" customFormat="1" x14ac:dyDescent="0.25">
      <c r="A4" s="44" t="s">
        <v>305</v>
      </c>
      <c r="B4" s="5" t="s">
        <v>346</v>
      </c>
      <c r="C4" s="35" t="s">
        <v>311</v>
      </c>
      <c r="D4" s="24"/>
      <c r="E4" s="23"/>
      <c r="F4" s="23"/>
      <c r="G4" s="23"/>
      <c r="H4" s="23"/>
      <c r="I4" s="23"/>
      <c r="J4" s="23"/>
      <c r="K4" s="23"/>
      <c r="L4" s="23"/>
      <c r="M4" s="23"/>
      <c r="N4" s="23"/>
      <c r="O4" s="23"/>
      <c r="P4" s="23"/>
      <c r="Q4" s="23"/>
      <c r="R4" s="23"/>
      <c r="S4" s="23"/>
      <c r="T4" s="23"/>
    </row>
    <row r="5" spans="1:21" s="1" customFormat="1" x14ac:dyDescent="0.25">
      <c r="A5" s="44" t="s">
        <v>333</v>
      </c>
      <c r="B5" s="7" t="s">
        <v>5</v>
      </c>
      <c r="C5" s="35" t="s">
        <v>334</v>
      </c>
      <c r="D5" s="24"/>
      <c r="E5" s="23"/>
      <c r="F5" s="23"/>
      <c r="G5" s="23"/>
      <c r="H5" s="23"/>
      <c r="I5" s="23"/>
      <c r="J5" s="23"/>
      <c r="K5" s="23"/>
      <c r="L5" s="23"/>
      <c r="M5" s="23"/>
      <c r="N5" s="23"/>
      <c r="O5" s="23"/>
      <c r="P5" s="23"/>
      <c r="Q5" s="23"/>
      <c r="R5" s="23"/>
      <c r="S5" s="23"/>
      <c r="T5" s="23"/>
    </row>
    <row r="6" spans="1:21" s="1" customFormat="1" x14ac:dyDescent="0.25">
      <c r="A6" s="44" t="s">
        <v>31</v>
      </c>
      <c r="B6" s="26"/>
      <c r="C6" s="12"/>
      <c r="D6" s="24"/>
      <c r="E6" s="23"/>
      <c r="F6" s="23"/>
      <c r="G6" s="23"/>
      <c r="H6" s="23"/>
      <c r="I6" s="23"/>
      <c r="J6" s="23"/>
      <c r="K6" s="23"/>
      <c r="L6" s="23"/>
      <c r="M6" s="23"/>
      <c r="N6" s="23"/>
      <c r="O6" s="23"/>
      <c r="P6" s="23"/>
      <c r="Q6" s="23"/>
      <c r="R6" s="23"/>
      <c r="S6" s="23"/>
      <c r="T6" s="23"/>
    </row>
    <row r="7" spans="1:21" x14ac:dyDescent="0.25">
      <c r="A7" s="31" t="s">
        <v>307</v>
      </c>
    </row>
    <row r="8" spans="1:21" s="4" customFormat="1" x14ac:dyDescent="0.25">
      <c r="A8" s="45"/>
      <c r="B8" s="45"/>
      <c r="C8" s="45"/>
      <c r="D8" s="46"/>
      <c r="E8" s="46"/>
      <c r="F8" s="140" t="s">
        <v>8</v>
      </c>
      <c r="G8" s="141"/>
      <c r="H8" s="141"/>
      <c r="I8" s="141"/>
      <c r="J8" s="141"/>
      <c r="K8" s="141"/>
      <c r="L8" s="141"/>
      <c r="M8" s="141"/>
      <c r="N8" s="141"/>
      <c r="O8" s="142"/>
      <c r="P8" s="143" t="s">
        <v>9</v>
      </c>
      <c r="Q8" s="144"/>
      <c r="R8" s="144"/>
      <c r="S8" s="144"/>
      <c r="T8" s="145"/>
    </row>
    <row r="9" spans="1:21" s="4" customFormat="1" ht="26.4" x14ac:dyDescent="0.25">
      <c r="A9" s="60" t="s">
        <v>4</v>
      </c>
      <c r="B9" s="60" t="s">
        <v>26</v>
      </c>
      <c r="C9" s="60" t="s">
        <v>7</v>
      </c>
      <c r="D9" s="60" t="s">
        <v>10</v>
      </c>
      <c r="E9" s="60" t="s">
        <v>13</v>
      </c>
      <c r="F9" s="47" t="s">
        <v>11</v>
      </c>
      <c r="G9" s="48" t="s">
        <v>6</v>
      </c>
      <c r="H9" s="48" t="s">
        <v>12</v>
      </c>
      <c r="I9" s="48" t="s">
        <v>87</v>
      </c>
      <c r="J9" s="48" t="s">
        <v>308</v>
      </c>
      <c r="K9" s="48" t="s">
        <v>309</v>
      </c>
      <c r="L9" s="48" t="s">
        <v>14</v>
      </c>
      <c r="M9" s="48" t="s">
        <v>287</v>
      </c>
      <c r="N9" s="48" t="s">
        <v>385</v>
      </c>
      <c r="O9" s="49" t="s">
        <v>15</v>
      </c>
      <c r="P9" s="50" t="s">
        <v>21</v>
      </c>
      <c r="Q9" s="48" t="s">
        <v>22</v>
      </c>
      <c r="R9" s="48" t="s">
        <v>23</v>
      </c>
      <c r="S9" s="48" t="s">
        <v>24</v>
      </c>
      <c r="T9" s="49" t="s">
        <v>16</v>
      </c>
    </row>
    <row r="10" spans="1:21" x14ac:dyDescent="0.25">
      <c r="A10" s="5" t="s">
        <v>46</v>
      </c>
      <c r="B10" s="10" t="s">
        <v>102</v>
      </c>
      <c r="F10" s="14" t="s">
        <v>60</v>
      </c>
      <c r="G10" s="15"/>
      <c r="H10" s="16"/>
      <c r="I10" s="15" t="s">
        <v>41</v>
      </c>
      <c r="J10" s="15"/>
      <c r="K10" s="15"/>
      <c r="L10" s="15"/>
      <c r="M10" s="15" t="s">
        <v>5</v>
      </c>
      <c r="N10" s="15"/>
      <c r="O10" s="16"/>
      <c r="P10" s="17" t="s">
        <v>38</v>
      </c>
      <c r="Q10" s="18"/>
      <c r="R10" s="19"/>
      <c r="S10" s="19"/>
      <c r="T10" s="18"/>
      <c r="U10" s="9"/>
    </row>
    <row r="11" spans="1:21" x14ac:dyDescent="0.25">
      <c r="A11" s="10" t="s">
        <v>132</v>
      </c>
      <c r="B11" s="10" t="s">
        <v>135</v>
      </c>
      <c r="D11" s="11" t="s">
        <v>139</v>
      </c>
      <c r="F11" s="14" t="s">
        <v>39</v>
      </c>
      <c r="G11" s="15">
        <v>5</v>
      </c>
      <c r="H11" s="16"/>
      <c r="I11" s="15"/>
      <c r="J11" s="15"/>
      <c r="K11" s="15"/>
      <c r="L11" s="15"/>
      <c r="M11" s="15" t="s">
        <v>5</v>
      </c>
      <c r="N11" s="15"/>
      <c r="O11" s="16"/>
      <c r="P11" s="17" t="s">
        <v>227</v>
      </c>
      <c r="Q11" s="18" t="s">
        <v>130</v>
      </c>
      <c r="R11" s="19" t="s">
        <v>141</v>
      </c>
      <c r="S11" s="19" t="s">
        <v>132</v>
      </c>
      <c r="T11" s="18" t="s">
        <v>230</v>
      </c>
      <c r="U11" s="9"/>
    </row>
    <row r="12" spans="1:21" x14ac:dyDescent="0.25">
      <c r="A12" s="10" t="s">
        <v>133</v>
      </c>
      <c r="B12" s="10" t="s">
        <v>136</v>
      </c>
      <c r="D12" s="11" t="s">
        <v>138</v>
      </c>
      <c r="F12" s="14" t="s">
        <v>39</v>
      </c>
      <c r="G12" s="15">
        <v>128</v>
      </c>
      <c r="H12" s="16"/>
      <c r="I12" s="15"/>
      <c r="J12" s="15"/>
      <c r="K12" s="15"/>
      <c r="L12" s="15"/>
      <c r="M12" s="15" t="s">
        <v>5</v>
      </c>
      <c r="N12" s="15"/>
      <c r="O12" s="16"/>
      <c r="P12" s="17" t="s">
        <v>227</v>
      </c>
      <c r="Q12" s="18" t="s">
        <v>130</v>
      </c>
      <c r="R12" s="19" t="s">
        <v>141</v>
      </c>
      <c r="S12" s="19" t="s">
        <v>133</v>
      </c>
      <c r="T12" s="18" t="s">
        <v>232</v>
      </c>
      <c r="U12" s="9"/>
    </row>
    <row r="13" spans="1:21" x14ac:dyDescent="0.25">
      <c r="A13" s="10" t="s">
        <v>134</v>
      </c>
      <c r="B13" s="10" t="s">
        <v>137</v>
      </c>
      <c r="D13" s="11" t="s">
        <v>113</v>
      </c>
      <c r="F13" s="14" t="s">
        <v>39</v>
      </c>
      <c r="G13" s="15">
        <v>5</v>
      </c>
      <c r="H13" s="16"/>
      <c r="I13" s="15"/>
      <c r="J13" s="15"/>
      <c r="K13" s="15"/>
      <c r="L13" s="15"/>
      <c r="M13" s="15" t="s">
        <v>5</v>
      </c>
      <c r="N13" s="15"/>
      <c r="O13" s="16"/>
      <c r="P13" s="17" t="s">
        <v>227</v>
      </c>
      <c r="Q13" s="18" t="s">
        <v>130</v>
      </c>
      <c r="R13" s="19" t="s">
        <v>141</v>
      </c>
      <c r="S13" s="19" t="s">
        <v>134</v>
      </c>
      <c r="T13" s="18" t="s">
        <v>230</v>
      </c>
      <c r="U13" s="9"/>
    </row>
    <row r="14" spans="1:21" x14ac:dyDescent="0.25">
      <c r="A14" s="10" t="s">
        <v>56</v>
      </c>
      <c r="B14" s="10" t="s">
        <v>143</v>
      </c>
      <c r="D14" s="13" t="s">
        <v>121</v>
      </c>
      <c r="E14" s="10" t="s">
        <v>124</v>
      </c>
      <c r="F14" s="14" t="s">
        <v>42</v>
      </c>
      <c r="G14" s="15"/>
      <c r="H14" s="16"/>
      <c r="I14" s="15"/>
      <c r="J14" s="15"/>
      <c r="K14" s="15"/>
      <c r="L14" s="15"/>
      <c r="M14" s="15" t="s">
        <v>5</v>
      </c>
      <c r="N14" s="15"/>
      <c r="O14" s="16"/>
      <c r="P14" s="17" t="s">
        <v>227</v>
      </c>
      <c r="Q14" s="18" t="s">
        <v>130</v>
      </c>
      <c r="R14" s="19" t="s">
        <v>141</v>
      </c>
      <c r="S14" s="19" t="s">
        <v>56</v>
      </c>
      <c r="T14" s="18" t="s">
        <v>42</v>
      </c>
      <c r="U14" s="9"/>
    </row>
    <row r="15" spans="1:21" x14ac:dyDescent="0.25">
      <c r="A15" s="10" t="s">
        <v>57</v>
      </c>
      <c r="B15" s="10" t="s">
        <v>118</v>
      </c>
      <c r="D15" s="11" t="s">
        <v>114</v>
      </c>
      <c r="F15" s="14" t="s">
        <v>39</v>
      </c>
      <c r="G15" s="15">
        <v>50</v>
      </c>
      <c r="H15" s="16"/>
      <c r="I15" s="15"/>
      <c r="J15" s="15"/>
      <c r="K15" s="15"/>
      <c r="L15" s="15"/>
      <c r="M15" s="15" t="s">
        <v>5</v>
      </c>
      <c r="N15" s="15"/>
      <c r="O15" s="16"/>
      <c r="P15" s="17" t="s">
        <v>227</v>
      </c>
      <c r="Q15" s="18" t="s">
        <v>130</v>
      </c>
      <c r="R15" s="19" t="s">
        <v>141</v>
      </c>
      <c r="S15" s="19" t="s">
        <v>57</v>
      </c>
      <c r="T15" s="18" t="s">
        <v>101</v>
      </c>
      <c r="U15" s="9"/>
    </row>
    <row r="16" spans="1:21" x14ac:dyDescent="0.25">
      <c r="A16" s="10" t="s">
        <v>58</v>
      </c>
      <c r="B16" s="10" t="s">
        <v>144</v>
      </c>
      <c r="D16" s="13" t="s">
        <v>122</v>
      </c>
      <c r="E16" s="10" t="s">
        <v>124</v>
      </c>
      <c r="F16" s="14" t="s">
        <v>42</v>
      </c>
      <c r="G16" s="15"/>
      <c r="H16" s="16"/>
      <c r="I16" s="15"/>
      <c r="J16" s="15"/>
      <c r="K16" s="15"/>
      <c r="L16" s="15"/>
      <c r="M16" s="15" t="s">
        <v>233</v>
      </c>
      <c r="N16" s="15"/>
      <c r="O16" s="16"/>
      <c r="P16" s="17" t="s">
        <v>227</v>
      </c>
      <c r="Q16" s="18" t="s">
        <v>130</v>
      </c>
      <c r="R16" s="19" t="s">
        <v>141</v>
      </c>
      <c r="S16" s="19" t="s">
        <v>58</v>
      </c>
      <c r="T16" s="18" t="s">
        <v>42</v>
      </c>
      <c r="U16" s="9"/>
    </row>
    <row r="17" spans="1:21" x14ac:dyDescent="0.25">
      <c r="A17" s="10" t="s">
        <v>59</v>
      </c>
      <c r="B17" s="10" t="s">
        <v>145</v>
      </c>
      <c r="D17" s="11" t="s">
        <v>115</v>
      </c>
      <c r="F17" s="14" t="s">
        <v>39</v>
      </c>
      <c r="G17" s="15">
        <v>50</v>
      </c>
      <c r="H17" s="16"/>
      <c r="I17" s="15"/>
      <c r="J17" s="15"/>
      <c r="K17" s="15"/>
      <c r="L17" s="15"/>
      <c r="M17" s="15" t="s">
        <v>20</v>
      </c>
      <c r="N17" s="15"/>
      <c r="O17" s="16"/>
      <c r="P17" s="17" t="s">
        <v>227</v>
      </c>
      <c r="Q17" s="18" t="s">
        <v>130</v>
      </c>
      <c r="R17" s="19" t="s">
        <v>141</v>
      </c>
      <c r="S17" s="19" t="s">
        <v>59</v>
      </c>
      <c r="T17" s="18" t="s">
        <v>101</v>
      </c>
      <c r="U17" s="9"/>
    </row>
    <row r="18" spans="1:21" x14ac:dyDescent="0.25">
      <c r="A18" s="10" t="s">
        <v>9</v>
      </c>
      <c r="B18" s="10" t="s">
        <v>126</v>
      </c>
      <c r="C18" s="10" t="s">
        <v>127</v>
      </c>
      <c r="D18" s="11" t="s">
        <v>140</v>
      </c>
      <c r="F18" s="14" t="s">
        <v>39</v>
      </c>
      <c r="G18" s="15">
        <v>3</v>
      </c>
      <c r="H18" s="16"/>
      <c r="I18" s="15"/>
      <c r="J18" s="15"/>
      <c r="K18" s="15"/>
      <c r="L18" s="15"/>
      <c r="M18" s="15" t="s">
        <v>5</v>
      </c>
      <c r="N18" s="15"/>
      <c r="O18" s="16"/>
      <c r="P18" s="17" t="s">
        <v>227</v>
      </c>
      <c r="Q18" s="18" t="s">
        <v>130</v>
      </c>
      <c r="R18" s="19" t="s">
        <v>141</v>
      </c>
      <c r="S18" s="19" t="s">
        <v>9</v>
      </c>
      <c r="T18" s="18" t="s">
        <v>231</v>
      </c>
      <c r="U18" s="9"/>
    </row>
    <row r="19" spans="1:21" x14ac:dyDescent="0.25">
      <c r="A19" s="10" t="s">
        <v>283</v>
      </c>
      <c r="B19" s="10" t="s">
        <v>143</v>
      </c>
      <c r="C19" s="10" t="s">
        <v>120</v>
      </c>
      <c r="D19" s="13" t="s">
        <v>123</v>
      </c>
      <c r="E19" s="10" t="s">
        <v>124</v>
      </c>
      <c r="F19" s="14" t="s">
        <v>129</v>
      </c>
      <c r="G19" s="15">
        <v>7</v>
      </c>
      <c r="H19" s="16"/>
      <c r="I19" s="15"/>
      <c r="J19" s="15"/>
      <c r="K19" s="15"/>
      <c r="L19" s="15"/>
      <c r="M19" s="15" t="s">
        <v>5</v>
      </c>
      <c r="N19" s="15"/>
      <c r="O19" s="16"/>
      <c r="P19" s="17" t="s">
        <v>227</v>
      </c>
      <c r="Q19" s="18" t="s">
        <v>130</v>
      </c>
      <c r="R19" s="19" t="s">
        <v>141</v>
      </c>
      <c r="S19" s="19" t="s">
        <v>283</v>
      </c>
      <c r="T19" s="18" t="s">
        <v>229</v>
      </c>
      <c r="U19" s="9"/>
    </row>
    <row r="20" spans="1:21" x14ac:dyDescent="0.25">
      <c r="A20" s="10" t="s">
        <v>284</v>
      </c>
      <c r="B20" s="10" t="s">
        <v>118</v>
      </c>
      <c r="C20" s="10" t="s">
        <v>119</v>
      </c>
      <c r="D20" s="11" t="s">
        <v>116</v>
      </c>
      <c r="F20" s="14" t="s">
        <v>39</v>
      </c>
      <c r="G20" s="15">
        <v>50</v>
      </c>
      <c r="H20" s="16"/>
      <c r="I20" s="15"/>
      <c r="J20" s="15"/>
      <c r="K20" s="15"/>
      <c r="L20" s="15"/>
      <c r="M20" s="15" t="s">
        <v>5</v>
      </c>
      <c r="N20" s="15"/>
      <c r="O20" s="16"/>
      <c r="P20" s="17" t="s">
        <v>227</v>
      </c>
      <c r="Q20" s="18" t="s">
        <v>130</v>
      </c>
      <c r="R20" s="19" t="s">
        <v>141</v>
      </c>
      <c r="S20" s="19" t="s">
        <v>284</v>
      </c>
      <c r="T20" s="18" t="s">
        <v>228</v>
      </c>
      <c r="U20" s="9"/>
    </row>
    <row r="21" spans="1:21" x14ac:dyDescent="0.25">
      <c r="A21" s="10" t="s">
        <v>285</v>
      </c>
      <c r="B21" s="10" t="s">
        <v>290</v>
      </c>
      <c r="C21" s="10" t="s">
        <v>120</v>
      </c>
      <c r="D21" s="13" t="s">
        <v>123</v>
      </c>
      <c r="E21" s="10" t="s">
        <v>124</v>
      </c>
      <c r="F21" s="14" t="s">
        <v>129</v>
      </c>
      <c r="G21" s="15">
        <v>7</v>
      </c>
      <c r="H21" s="16"/>
      <c r="I21" s="15"/>
      <c r="J21" s="15"/>
      <c r="K21" s="15"/>
      <c r="L21" s="15"/>
      <c r="M21" s="15" t="s">
        <v>5</v>
      </c>
      <c r="N21" s="15"/>
      <c r="O21" s="16"/>
      <c r="P21" s="17" t="s">
        <v>227</v>
      </c>
      <c r="Q21" s="18" t="s">
        <v>130</v>
      </c>
      <c r="R21" s="19" t="s">
        <v>141</v>
      </c>
      <c r="S21" s="19" t="s">
        <v>283</v>
      </c>
      <c r="T21" s="18" t="s">
        <v>229</v>
      </c>
      <c r="U21" s="9"/>
    </row>
    <row r="22" spans="1:21" x14ac:dyDescent="0.25">
      <c r="A22" s="10" t="s">
        <v>286</v>
      </c>
      <c r="B22" s="10" t="s">
        <v>291</v>
      </c>
      <c r="C22" s="10" t="s">
        <v>119</v>
      </c>
      <c r="D22" s="11" t="s">
        <v>116</v>
      </c>
      <c r="F22" s="14" t="s">
        <v>39</v>
      </c>
      <c r="G22" s="15">
        <v>50</v>
      </c>
      <c r="H22" s="16"/>
      <c r="I22" s="15"/>
      <c r="J22" s="15"/>
      <c r="K22" s="15"/>
      <c r="L22" s="15"/>
      <c r="M22" s="15" t="s">
        <v>5</v>
      </c>
      <c r="N22" s="15"/>
      <c r="O22" s="16"/>
      <c r="P22" s="17" t="s">
        <v>227</v>
      </c>
      <c r="Q22" s="18" t="s">
        <v>130</v>
      </c>
      <c r="R22" s="19" t="s">
        <v>141</v>
      </c>
      <c r="S22" s="19" t="s">
        <v>284</v>
      </c>
      <c r="T22" s="18" t="s">
        <v>228</v>
      </c>
      <c r="U22" s="9"/>
    </row>
    <row r="23" spans="1:21" x14ac:dyDescent="0.25">
      <c r="A23" s="10" t="s">
        <v>125</v>
      </c>
      <c r="B23" s="10" t="s">
        <v>288</v>
      </c>
      <c r="C23" s="10" t="s">
        <v>128</v>
      </c>
      <c r="D23" s="11" t="s">
        <v>117</v>
      </c>
      <c r="F23" s="14" t="s">
        <v>39</v>
      </c>
      <c r="G23" s="15">
        <v>256</v>
      </c>
      <c r="H23" s="16"/>
      <c r="I23" s="15"/>
      <c r="J23" s="15"/>
      <c r="K23" s="15"/>
      <c r="L23" s="15"/>
      <c r="M23" s="15" t="s">
        <v>5</v>
      </c>
      <c r="N23" s="15"/>
      <c r="O23" s="16"/>
      <c r="P23" s="17" t="s">
        <v>227</v>
      </c>
      <c r="Q23" s="18" t="s">
        <v>130</v>
      </c>
      <c r="R23" s="19" t="s">
        <v>141</v>
      </c>
      <c r="S23" s="19" t="s">
        <v>125</v>
      </c>
      <c r="T23" s="18" t="s">
        <v>228</v>
      </c>
      <c r="U23" s="9"/>
    </row>
    <row r="24" spans="1:21" x14ac:dyDescent="0.25">
      <c r="A24" s="10" t="s">
        <v>169</v>
      </c>
      <c r="B24" s="10" t="s">
        <v>289</v>
      </c>
      <c r="E24" s="10">
        <v>12</v>
      </c>
      <c r="F24" s="14" t="s">
        <v>60</v>
      </c>
      <c r="G24" s="15"/>
      <c r="H24" s="16"/>
      <c r="I24" s="15"/>
      <c r="J24" s="15"/>
      <c r="K24" s="15"/>
      <c r="L24" s="15"/>
      <c r="M24" s="15" t="s">
        <v>5</v>
      </c>
      <c r="N24" s="15"/>
      <c r="O24" s="16"/>
      <c r="P24" s="17" t="s">
        <v>38</v>
      </c>
      <c r="Q24" s="18"/>
      <c r="R24" s="19"/>
      <c r="S24" s="19"/>
      <c r="T24" s="18"/>
      <c r="U24" s="9"/>
    </row>
    <row r="25" spans="1:21" x14ac:dyDescent="0.25">
      <c r="A25" s="10" t="s">
        <v>392</v>
      </c>
      <c r="B25" s="10" t="s">
        <v>104</v>
      </c>
      <c r="F25" s="14" t="s">
        <v>106</v>
      </c>
      <c r="G25" s="15">
        <v>20</v>
      </c>
      <c r="H25" s="16"/>
      <c r="I25" s="15"/>
      <c r="J25" s="15"/>
      <c r="K25" s="15"/>
      <c r="L25" s="15"/>
      <c r="M25" s="15" t="s">
        <v>20</v>
      </c>
      <c r="N25" s="15"/>
      <c r="O25" s="16"/>
      <c r="P25" s="17" t="s">
        <v>38</v>
      </c>
      <c r="Q25" s="18"/>
      <c r="R25" s="19"/>
      <c r="S25" s="19"/>
      <c r="T25" s="18"/>
      <c r="U25" s="9"/>
    </row>
    <row r="26" spans="1:21" x14ac:dyDescent="0.25">
      <c r="A26" s="10" t="s">
        <v>393</v>
      </c>
      <c r="B26" s="10" t="s">
        <v>105</v>
      </c>
      <c r="F26" s="14" t="s">
        <v>106</v>
      </c>
      <c r="G26" s="15">
        <v>20</v>
      </c>
      <c r="H26" s="16"/>
      <c r="I26" s="15"/>
      <c r="J26" s="15"/>
      <c r="K26" s="15"/>
      <c r="L26" s="15"/>
      <c r="M26" s="15" t="s">
        <v>20</v>
      </c>
      <c r="N26" s="15"/>
      <c r="O26" s="16"/>
      <c r="P26" s="17" t="s">
        <v>38</v>
      </c>
      <c r="Q26" s="18"/>
      <c r="R26" s="19"/>
      <c r="S26" s="19"/>
      <c r="T26" s="18"/>
      <c r="U26" s="9"/>
    </row>
  </sheetData>
  <mergeCells count="2">
    <mergeCell ref="F8:O8"/>
    <mergeCell ref="P8:T8"/>
  </mergeCells>
  <dataValidations count="2">
    <dataValidation type="list" allowBlank="1" showInputMessage="1" showErrorMessage="1" promptTitle="Table Type" prompt="PK Type" sqref="B4">
      <formula1>"CLUSTERED,NONCLUSTERD"</formula1>
    </dataValidation>
    <dataValidation type="list" allowBlank="1" showInputMessage="1" showErrorMessage="1" sqref="B5">
      <formula1>"Y, N"</formula1>
    </dataValidation>
  </dataValidations>
  <hyperlinks>
    <hyperlink ref="A7" location="Home!A1" display="Home"/>
  </hyperlinks>
  <pageMargins left="0.7" right="0.7" top="0.78740157499999996" bottom="0.78740157499999996" header="0.3" footer="0.3"/>
  <pageSetup paperSize="9" orientation="portrait" horizontalDpi="720" verticalDpi="72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Schemas!$A$10:$A$39</xm:f>
          </x14:formula1>
          <xm:sqref>B1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977EBD8AFC02F44931A6424BF6678C5" ma:contentTypeVersion="0" ma:contentTypeDescription="Create a new document." ma:contentTypeScope="" ma:versionID="aff1b85098a561fe8526bd052dc2beb4">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25899EE-95F0-4A61-A8EC-81485E385EF0}">
  <ds:schemaRefs>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s>
</ds:datastoreItem>
</file>

<file path=customXml/itemProps2.xml><?xml version="1.0" encoding="utf-8"?>
<ds:datastoreItem xmlns:ds="http://schemas.openxmlformats.org/officeDocument/2006/customXml" ds:itemID="{7F09B2FD-6CF5-4316-B560-69AFDAEBA933}">
  <ds:schemaRefs>
    <ds:schemaRef ds:uri="http://schemas.microsoft.com/sharepoint/v3/contenttype/forms"/>
  </ds:schemaRefs>
</ds:datastoreItem>
</file>

<file path=customXml/itemProps3.xml><?xml version="1.0" encoding="utf-8"?>
<ds:datastoreItem xmlns:ds="http://schemas.openxmlformats.org/officeDocument/2006/customXml" ds:itemID="{30B59C29-709A-4C00-A2C8-FAD3482DDC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38</vt:i4>
      </vt:variant>
    </vt:vector>
  </HeadingPairs>
  <TitlesOfParts>
    <vt:vector size="59" baseType="lpstr">
      <vt:lpstr>Home</vt:lpstr>
      <vt:lpstr>ReadMe</vt:lpstr>
      <vt:lpstr>Content</vt:lpstr>
      <vt:lpstr>Change Log</vt:lpstr>
      <vt:lpstr>Schemas</vt:lpstr>
      <vt:lpstr>E1.Test</vt:lpstr>
      <vt:lpstr>T1.Test</vt:lpstr>
      <vt:lpstr>T2.Test</vt:lpstr>
      <vt:lpstr>sec.BotCodeKeyword</vt:lpstr>
      <vt:lpstr>sec.BotCodeKeywordCounter</vt:lpstr>
      <vt:lpstr>LOG.Component</vt:lpstr>
      <vt:lpstr>LOG.Error</vt:lpstr>
      <vt:lpstr>LOG.Execution</vt:lpstr>
      <vt:lpstr>LOG.ExportFile</vt:lpstr>
      <vt:lpstr>LOG.ImportFile</vt:lpstr>
      <vt:lpstr>LOG.Trace</vt:lpstr>
      <vt:lpstr>CONFIG.CheckConstraint</vt:lpstr>
      <vt:lpstr>CONFIG.Configuration</vt:lpstr>
      <vt:lpstr>CONFIG.DBVersion</vt:lpstr>
      <vt:lpstr>CONFIG.TableMetadata</vt:lpstr>
      <vt:lpstr>LOG._Template</vt:lpstr>
      <vt:lpstr>CONFIG.CheckConstraint!ColumnHeader</vt:lpstr>
      <vt:lpstr>CONFIG.Configuration!ColumnHeader</vt:lpstr>
      <vt:lpstr>CONFIG.DBVersion!ColumnHeader</vt:lpstr>
      <vt:lpstr>CONFIG.TableMetadata!ColumnHeader</vt:lpstr>
      <vt:lpstr>E1.Test!ColumnHeader</vt:lpstr>
      <vt:lpstr>LOG._Template!ColumnHeader</vt:lpstr>
      <vt:lpstr>LOG.Component!ColumnHeader</vt:lpstr>
      <vt:lpstr>LOG.Error!ColumnHeader</vt:lpstr>
      <vt:lpstr>LOG.Execution!ColumnHeader</vt:lpstr>
      <vt:lpstr>LOG.ExportFile!ColumnHeader</vt:lpstr>
      <vt:lpstr>LOG.ImportFile!ColumnHeader</vt:lpstr>
      <vt:lpstr>LOG.Trace!ColumnHeader</vt:lpstr>
      <vt:lpstr>sec.BotCodeKeyword!ColumnHeader</vt:lpstr>
      <vt:lpstr>sec.BotCodeKeywordCounter!ColumnHeader</vt:lpstr>
      <vt:lpstr>T1.Test!ColumnHeader</vt:lpstr>
      <vt:lpstr>T2.Test!ColumnHeader</vt:lpstr>
      <vt:lpstr>HomeDatabaseDate</vt:lpstr>
      <vt:lpstr>HomeDatabaseDescription</vt:lpstr>
      <vt:lpstr>HomeDatabaseName</vt:lpstr>
      <vt:lpstr>HomeDatabaseVersion</vt:lpstr>
      <vt:lpstr>HomeDate</vt:lpstr>
      <vt:lpstr>CONFIG.CheckConstraint!RowHeader</vt:lpstr>
      <vt:lpstr>CONFIG.Configuration!RowHeader</vt:lpstr>
      <vt:lpstr>CONFIG.DBVersion!RowHeader</vt:lpstr>
      <vt:lpstr>CONFIG.TableMetadata!RowHeader</vt:lpstr>
      <vt:lpstr>E1.Test!RowHeader</vt:lpstr>
      <vt:lpstr>LOG._Template!RowHeader</vt:lpstr>
      <vt:lpstr>LOG.Component!RowHeader</vt:lpstr>
      <vt:lpstr>LOG.Error!RowHeader</vt:lpstr>
      <vt:lpstr>LOG.Execution!RowHeader</vt:lpstr>
      <vt:lpstr>LOG.ExportFile!RowHeader</vt:lpstr>
      <vt:lpstr>LOG.ImportFile!RowHeader</vt:lpstr>
      <vt:lpstr>LOG.Trace!RowHeader</vt:lpstr>
      <vt:lpstr>sec.BotCodeKeyword!RowHeader</vt:lpstr>
      <vt:lpstr>sec.BotCodeKeywordCounter!RowHeader</vt:lpstr>
      <vt:lpstr>T1.Test!RowHeader</vt:lpstr>
      <vt:lpstr>T2.Test!RowHeader</vt:lpstr>
      <vt:lpstr>Schemas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Belz, Marcus</cp:lastModifiedBy>
  <cp:lastPrinted>2006-08-08T00:44:45Z</cp:lastPrinted>
  <dcterms:created xsi:type="dcterms:W3CDTF">2004-06-03T21:49:10Z</dcterms:created>
  <dcterms:modified xsi:type="dcterms:W3CDTF">2019-12-05T12:09:05Z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WorkbookGuid">
    <vt:lpwstr>4945e061-50de-4faa-a035-0562d8f51b4d</vt:lpwstr>
  </property>
</Properties>
</file>